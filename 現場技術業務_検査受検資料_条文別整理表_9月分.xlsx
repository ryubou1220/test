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条文別整理表" sheetId="1" state="visible" r:id="rId3"/>
    <sheet name="条文別集計" sheetId="2" state="visible" r:id="rId4"/>
    <sheet name="条文マスタ" sheetId="3" state="visible" r:id="rId5"/>
  </sheets>
  <definedNames>
    <definedName function="false" hidden="false" localSheetId="0" name="_xlnm.Print_Area" vbProcedure="false">条文別整理表!$A$1:$L$142</definedName>
    <definedName function="false" hidden="false" localSheetId="0" name="_xlnm.Print_Titles" vbProcedure="false">条文別整理表!$8:$8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<sst xmlns="http://schemas.openxmlformats.org/spreadsheetml/2006/main" count="737" uniqueCount="270">
  <si>
    <r>
      <rPr>
        <b val="true"/>
        <sz val="16"/>
        <rFont val="WenQuanYi Zen Hei"/>
        <family val="2"/>
      </rPr>
      <t xml:space="preserve">現場技術業務　検査受検資料　条文別整理表（令和</t>
    </r>
    <r>
      <rPr>
        <b val="true"/>
        <sz val="16"/>
        <rFont val="ＭＳ Ｐ明朝"/>
        <family val="0"/>
        <charset val="1"/>
      </rPr>
      <t xml:space="preserve">8</t>
    </r>
    <r>
      <rPr>
        <b val="true"/>
        <sz val="16"/>
        <rFont val="WenQuanYi Zen Hei"/>
        <family val="2"/>
      </rPr>
      <t xml:space="preserve">年</t>
    </r>
    <r>
      <rPr>
        <b val="true"/>
        <sz val="16"/>
        <rFont val="ＭＳ Ｐ明朝"/>
        <family val="0"/>
        <charset val="1"/>
      </rPr>
      <t xml:space="preserve">9</t>
    </r>
    <r>
      <rPr>
        <b val="true"/>
        <sz val="16"/>
        <rFont val="WenQuanYi Zen Hei"/>
        <family val="2"/>
      </rPr>
      <t xml:space="preserve">月分）</t>
    </r>
  </si>
  <si>
    <t xml:space="preserve">業務番号</t>
  </si>
  <si>
    <r>
      <rPr>
        <sz val="10"/>
        <rFont val="WenQuanYi Zen Hei"/>
        <family val="2"/>
      </rPr>
      <t xml:space="preserve">丹後７府民協働第１４９９の２号の２の１他</t>
    </r>
    <r>
      <rPr>
        <sz val="10"/>
        <rFont val="ＭＳ Ｐ明朝"/>
        <family val="0"/>
        <charset val="1"/>
      </rPr>
      <t xml:space="preserve">1</t>
    </r>
    <r>
      <rPr>
        <sz val="10"/>
        <rFont val="WenQuanYi Zen Hei"/>
        <family val="2"/>
      </rPr>
      <t xml:space="preserve">件</t>
    </r>
  </si>
  <si>
    <t xml:space="preserve">業務名</t>
  </si>
  <si>
    <t xml:space="preserve">管内一円 府民協働型インフラ保全業務委託 他１件</t>
  </si>
  <si>
    <t xml:space="preserve">対象期間</t>
  </si>
  <si>
    <r>
      <rPr>
        <sz val="10"/>
        <rFont val="WenQuanYi Zen Hei"/>
        <family val="2"/>
      </rPr>
      <t xml:space="preserve">令和</t>
    </r>
    <r>
      <rPr>
        <sz val="10"/>
        <rFont val="ＭＳ Ｐ明朝"/>
        <family val="0"/>
        <charset val="1"/>
      </rPr>
      <t xml:space="preserve">8</t>
    </r>
    <r>
      <rPr>
        <sz val="10"/>
        <rFont val="WenQuanYi Zen Hei"/>
        <family val="2"/>
      </rPr>
      <t xml:space="preserve">年</t>
    </r>
    <r>
      <rPr>
        <sz val="10"/>
        <rFont val="ＭＳ Ｐ明朝"/>
        <family val="0"/>
        <charset val="1"/>
      </rPr>
      <t xml:space="preserve">9</t>
    </r>
    <r>
      <rPr>
        <sz val="10"/>
        <rFont val="WenQuanYi Zen Hei"/>
        <family val="2"/>
      </rPr>
      <t xml:space="preserve">月</t>
    </r>
    <r>
      <rPr>
        <sz val="10"/>
        <rFont val="ＭＳ Ｐ明朝"/>
        <family val="0"/>
        <charset val="1"/>
      </rPr>
      <t xml:space="preserve">1</t>
    </r>
    <r>
      <rPr>
        <sz val="10"/>
        <rFont val="WenQuanYi Zen Hei"/>
        <family val="2"/>
      </rPr>
      <t xml:space="preserve">日（火）～ 令和</t>
    </r>
    <r>
      <rPr>
        <sz val="10"/>
        <rFont val="ＭＳ Ｐ明朝"/>
        <family val="0"/>
        <charset val="1"/>
      </rPr>
      <t xml:space="preserve">8</t>
    </r>
    <r>
      <rPr>
        <sz val="10"/>
        <rFont val="WenQuanYi Zen Hei"/>
        <family val="2"/>
      </rPr>
      <t xml:space="preserve">年</t>
    </r>
    <r>
      <rPr>
        <sz val="10"/>
        <rFont val="ＭＳ Ｐ明朝"/>
        <family val="0"/>
        <charset val="1"/>
      </rPr>
      <t xml:space="preserve">9</t>
    </r>
    <r>
      <rPr>
        <sz val="10"/>
        <rFont val="WenQuanYi Zen Hei"/>
        <family val="2"/>
      </rPr>
      <t xml:space="preserve">月</t>
    </r>
    <r>
      <rPr>
        <sz val="10"/>
        <rFont val="ＭＳ Ｐ明朝"/>
        <family val="0"/>
        <charset val="1"/>
      </rPr>
      <t xml:space="preserve">30</t>
    </r>
    <r>
      <rPr>
        <sz val="10"/>
        <rFont val="WenQuanYi Zen Hei"/>
        <family val="2"/>
      </rPr>
      <t xml:space="preserve">日（水）　履行日数 </t>
    </r>
    <r>
      <rPr>
        <sz val="10"/>
        <rFont val="ＭＳ Ｐ明朝"/>
        <family val="0"/>
        <charset val="1"/>
      </rPr>
      <t xml:space="preserve">19</t>
    </r>
    <r>
      <rPr>
        <sz val="10"/>
        <rFont val="WenQuanYi Zen Hei"/>
        <family val="2"/>
      </rPr>
      <t xml:space="preserve">日（業務処理結果報告書 №</t>
    </r>
    <r>
      <rPr>
        <sz val="10"/>
        <rFont val="ＭＳ Ｐ明朝"/>
        <family val="0"/>
        <charset val="1"/>
      </rPr>
      <t xml:space="preserve">104</t>
    </r>
    <r>
      <rPr>
        <sz val="10"/>
        <rFont val="WenQuanYi Zen Hei"/>
        <family val="2"/>
      </rPr>
      <t xml:space="preserve">～№</t>
    </r>
    <r>
      <rPr>
        <sz val="10"/>
        <rFont val="ＭＳ Ｐ明朝"/>
        <family val="0"/>
        <charset val="1"/>
      </rPr>
      <t xml:space="preserve">122</t>
    </r>
    <r>
      <rPr>
        <sz val="10"/>
        <rFont val="WenQuanYi Zen Hei"/>
        <family val="2"/>
      </rPr>
      <t xml:space="preserve">）</t>
    </r>
  </si>
  <si>
    <t xml:space="preserve">適用仕様書</t>
  </si>
  <si>
    <t xml:space="preserve">現場技術業務委託共通仕様書（京都府）及び 現場技術業務 特記仕様書</t>
  </si>
  <si>
    <t xml:space="preserve">条文番号</t>
  </si>
  <si>
    <t xml:space="preserve">見出し</t>
  </si>
  <si>
    <t xml:space="preserve">No.</t>
  </si>
  <si>
    <t xml:space="preserve">実施日</t>
  </si>
  <si>
    <t xml:space="preserve">曜</t>
  </si>
  <si>
    <t xml:space="preserve">開始時刻</t>
  </si>
  <si>
    <t xml:space="preserve">対象工事・業務</t>
  </si>
  <si>
    <t xml:space="preserve">実施内容</t>
  </si>
  <si>
    <t xml:space="preserve">相手先／検査官</t>
  </si>
  <si>
    <t xml:space="preserve">担当監督員</t>
  </si>
  <si>
    <t xml:space="preserve">報告書№</t>
  </si>
  <si>
    <t xml:space="preserve">備考</t>
  </si>
  <si>
    <r>
      <rPr>
        <b val="true"/>
        <sz val="10"/>
        <rFont val="WenQuanYi Zen Hei"/>
        <family val="2"/>
      </rPr>
      <t xml:space="preserve">第</t>
    </r>
    <r>
      <rPr>
        <b val="true"/>
        <sz val="10"/>
        <rFont val="ＭＳ Ｐ明朝"/>
        <family val="0"/>
        <charset val="1"/>
      </rPr>
      <t xml:space="preserve">3</t>
    </r>
    <r>
      <rPr>
        <b val="true"/>
        <sz val="10"/>
        <rFont val="WenQuanYi Zen Hei"/>
        <family val="2"/>
      </rPr>
      <t xml:space="preserve">条第</t>
    </r>
    <r>
      <rPr>
        <b val="true"/>
        <sz val="10"/>
        <rFont val="ＭＳ Ｐ明朝"/>
        <family val="0"/>
        <charset val="1"/>
      </rPr>
      <t xml:space="preserve">3</t>
    </r>
    <r>
      <rPr>
        <b val="true"/>
        <sz val="10"/>
        <rFont val="WenQuanYi Zen Hei"/>
        <family val="2"/>
      </rPr>
      <t xml:space="preserve">項</t>
    </r>
    <r>
      <rPr>
        <b val="true"/>
        <sz val="10"/>
        <rFont val="ＭＳ Ｐ明朝"/>
        <family val="0"/>
        <charset val="1"/>
      </rPr>
      <t xml:space="preserve">(1)</t>
    </r>
  </si>
  <si>
    <t xml:space="preserve">実施日数</t>
  </si>
  <si>
    <r>
      <rPr>
        <sz val="10"/>
        <color rgb="FF0000FF"/>
        <rFont val="WenQuanYi Zen Hei"/>
        <family val="2"/>
      </rPr>
      <t xml:space="preserve">第</t>
    </r>
    <r>
      <rPr>
        <sz val="10"/>
        <color rgb="FF0000FF"/>
        <rFont val="ＭＳ Ｐ明朝"/>
        <family val="0"/>
        <charset val="1"/>
      </rPr>
      <t xml:space="preserve">3</t>
    </r>
    <r>
      <rPr>
        <sz val="10"/>
        <color rgb="FF0000FF"/>
        <rFont val="WenQuanYi Zen Hei"/>
        <family val="2"/>
      </rPr>
      <t xml:space="preserve">条第</t>
    </r>
    <r>
      <rPr>
        <sz val="10"/>
        <color rgb="FF0000FF"/>
        <rFont val="ＭＳ Ｐ明朝"/>
        <family val="0"/>
        <charset val="1"/>
      </rPr>
      <t xml:space="preserve">3</t>
    </r>
    <r>
      <rPr>
        <sz val="10"/>
        <color rgb="FF0000FF"/>
        <rFont val="WenQuanYi Zen Hei"/>
        <family val="2"/>
      </rPr>
      <t xml:space="preserve">項</t>
    </r>
    <r>
      <rPr>
        <sz val="10"/>
        <color rgb="FF0000FF"/>
        <rFont val="ＭＳ Ｐ明朝"/>
        <family val="0"/>
        <charset val="1"/>
      </rPr>
      <t xml:space="preserve">(1)</t>
    </r>
  </si>
  <si>
    <t xml:space="preserve">AM11:30</t>
  </si>
  <si>
    <t xml:space="preserve">第２四半期調査</t>
  </si>
  <si>
    <t xml:space="preserve">第２四半期調査 過積載点検表作成</t>
  </si>
  <si>
    <t xml:space="preserve">乾技師</t>
  </si>
  <si>
    <r>
      <rPr>
        <b val="true"/>
        <sz val="10"/>
        <rFont val="WenQuanYi Zen Hei"/>
        <family val="2"/>
      </rPr>
      <t xml:space="preserve">第</t>
    </r>
    <r>
      <rPr>
        <b val="true"/>
        <sz val="10"/>
        <rFont val="ＭＳ Ｐ明朝"/>
        <family val="0"/>
        <charset val="1"/>
      </rPr>
      <t xml:space="preserve">3</t>
    </r>
    <r>
      <rPr>
        <b val="true"/>
        <sz val="10"/>
        <rFont val="WenQuanYi Zen Hei"/>
        <family val="2"/>
      </rPr>
      <t xml:space="preserve">条第</t>
    </r>
    <r>
      <rPr>
        <b val="true"/>
        <sz val="10"/>
        <rFont val="ＭＳ Ｐ明朝"/>
        <family val="0"/>
        <charset val="1"/>
      </rPr>
      <t xml:space="preserve">3</t>
    </r>
    <r>
      <rPr>
        <b val="true"/>
        <sz val="10"/>
        <rFont val="WenQuanYi Zen Hei"/>
        <family val="2"/>
      </rPr>
      <t xml:space="preserve">項</t>
    </r>
    <r>
      <rPr>
        <b val="true"/>
        <sz val="10"/>
        <rFont val="ＭＳ Ｐ明朝"/>
        <family val="0"/>
        <charset val="1"/>
      </rPr>
      <t xml:space="preserve">(4)</t>
    </r>
  </si>
  <si>
    <r>
      <rPr>
        <sz val="10"/>
        <color rgb="FF0000FF"/>
        <rFont val="WenQuanYi Zen Hei"/>
        <family val="2"/>
      </rPr>
      <t xml:space="preserve">第</t>
    </r>
    <r>
      <rPr>
        <sz val="10"/>
        <color rgb="FF0000FF"/>
        <rFont val="ＭＳ Ｐ明朝"/>
        <family val="0"/>
        <charset val="1"/>
      </rPr>
      <t xml:space="preserve">3</t>
    </r>
    <r>
      <rPr>
        <sz val="10"/>
        <color rgb="FF0000FF"/>
        <rFont val="WenQuanYi Zen Hei"/>
        <family val="2"/>
      </rPr>
      <t xml:space="preserve">条第</t>
    </r>
    <r>
      <rPr>
        <sz val="10"/>
        <color rgb="FF0000FF"/>
        <rFont val="ＭＳ Ｐ明朝"/>
        <family val="0"/>
        <charset val="1"/>
      </rPr>
      <t xml:space="preserve">3</t>
    </r>
    <r>
      <rPr>
        <sz val="10"/>
        <color rgb="FF0000FF"/>
        <rFont val="WenQuanYi Zen Hei"/>
        <family val="2"/>
      </rPr>
      <t xml:space="preserve">項</t>
    </r>
    <r>
      <rPr>
        <sz val="10"/>
        <color rgb="FF0000FF"/>
        <rFont val="ＭＳ Ｐ明朝"/>
        <family val="0"/>
        <charset val="1"/>
      </rPr>
      <t xml:space="preserve">(4)</t>
    </r>
  </si>
  <si>
    <t xml:space="preserve">AM10:00</t>
  </si>
  <si>
    <t xml:space="preserve">管内一円（成願寺川）緊急浚渫推進（砂防）工事</t>
  </si>
  <si>
    <t xml:space="preserve">【河川砂防課】工事初回打合せ 成願寺川緊急浚渫</t>
  </si>
  <si>
    <t xml:space="preserve">サンキ工業㈱</t>
  </si>
  <si>
    <t xml:space="preserve">小林主査</t>
  </si>
  <si>
    <t xml:space="preserve">AM8:30</t>
  </si>
  <si>
    <t xml:space="preserve">竹野川（小西川）広域河川改修（補正・防災安全）工事</t>
  </si>
  <si>
    <t xml:space="preserve">工事初回打合せ</t>
  </si>
  <si>
    <t xml:space="preserve">㈱丸正組</t>
  </si>
  <si>
    <t xml:space="preserve">倉垣副主査</t>
  </si>
  <si>
    <r>
      <rPr>
        <b val="true"/>
        <sz val="10"/>
        <rFont val="WenQuanYi Zen Hei"/>
        <family val="2"/>
      </rPr>
      <t xml:space="preserve">第</t>
    </r>
    <r>
      <rPr>
        <b val="true"/>
        <sz val="10"/>
        <rFont val="ＭＳ Ｐ明朝"/>
        <family val="0"/>
        <charset val="1"/>
      </rPr>
      <t xml:space="preserve">3</t>
    </r>
    <r>
      <rPr>
        <b val="true"/>
        <sz val="10"/>
        <rFont val="WenQuanYi Zen Hei"/>
        <family val="2"/>
      </rPr>
      <t xml:space="preserve">条第</t>
    </r>
    <r>
      <rPr>
        <b val="true"/>
        <sz val="10"/>
        <rFont val="ＭＳ Ｐ明朝"/>
        <family val="0"/>
        <charset val="1"/>
      </rPr>
      <t xml:space="preserve">3</t>
    </r>
    <r>
      <rPr>
        <b val="true"/>
        <sz val="10"/>
        <rFont val="WenQuanYi Zen Hei"/>
        <family val="2"/>
      </rPr>
      <t xml:space="preserve">項</t>
    </r>
    <r>
      <rPr>
        <b val="true"/>
        <sz val="10"/>
        <rFont val="ＭＳ Ｐ明朝"/>
        <family val="0"/>
        <charset val="1"/>
      </rPr>
      <t xml:space="preserve">(5)</t>
    </r>
  </si>
  <si>
    <r>
      <rPr>
        <sz val="10"/>
        <color rgb="FF0000FF"/>
        <rFont val="WenQuanYi Zen Hei"/>
        <family val="2"/>
      </rPr>
      <t xml:space="preserve">第</t>
    </r>
    <r>
      <rPr>
        <sz val="10"/>
        <color rgb="FF0000FF"/>
        <rFont val="ＭＳ Ｐ明朝"/>
        <family val="0"/>
        <charset val="1"/>
      </rPr>
      <t xml:space="preserve">3</t>
    </r>
    <r>
      <rPr>
        <sz val="10"/>
        <color rgb="FF0000FF"/>
        <rFont val="WenQuanYi Zen Hei"/>
        <family val="2"/>
      </rPr>
      <t xml:space="preserve">条第</t>
    </r>
    <r>
      <rPr>
        <sz val="10"/>
        <color rgb="FF0000FF"/>
        <rFont val="ＭＳ Ｐ明朝"/>
        <family val="0"/>
        <charset val="1"/>
      </rPr>
      <t xml:space="preserve">3</t>
    </r>
    <r>
      <rPr>
        <sz val="10"/>
        <color rgb="FF0000FF"/>
        <rFont val="WenQuanYi Zen Hei"/>
        <family val="2"/>
      </rPr>
      <t xml:space="preserve">項</t>
    </r>
    <r>
      <rPr>
        <sz val="10"/>
        <color rgb="FF0000FF"/>
        <rFont val="ＭＳ Ｐ明朝"/>
        <family val="0"/>
        <charset val="1"/>
      </rPr>
      <t xml:space="preserve">(5)</t>
    </r>
  </si>
  <si>
    <t xml:space="preserve">PM2:00</t>
  </si>
  <si>
    <t xml:space="preserve">管内一円（成願寺川）緊急浚渫推進（砂防）工事他</t>
  </si>
  <si>
    <t xml:space="preserve">成願寺川他 設計図書確認</t>
  </si>
  <si>
    <t xml:space="preserve">小林主査 他</t>
  </si>
  <si>
    <t xml:space="preserve">PM1:00</t>
  </si>
  <si>
    <t xml:space="preserve">成願寺川緊急浚渫 設計図書確認～打合せ事項メモ作成</t>
  </si>
  <si>
    <t xml:space="preserve">PM3:00</t>
  </si>
  <si>
    <r>
      <rPr>
        <sz val="10"/>
        <color rgb="FF000000"/>
        <rFont val="WenQuanYi Zen Hei"/>
        <family val="2"/>
      </rPr>
      <t xml:space="preserve">成願寺川緊急浚渫 打合せ事項メモ確認</t>
    </r>
    <r>
      <rPr>
        <sz val="10"/>
        <color rgb="FF000000"/>
        <rFont val="ＭＳ Ｐ明朝"/>
        <family val="0"/>
        <charset val="1"/>
      </rPr>
      <t xml:space="preserve">(</t>
    </r>
    <r>
      <rPr>
        <sz val="10"/>
        <color rgb="FF000000"/>
        <rFont val="WenQuanYi Zen Hei"/>
        <family val="2"/>
      </rPr>
      <t xml:space="preserve">小林主査作成）</t>
    </r>
  </si>
  <si>
    <t xml:space="preserve">AM9:00</t>
  </si>
  <si>
    <t xml:space="preserve">川上谷川緊急浚渫推進（河川）工事／管内一円（成願寺川）緊急浚渫推進（砂防）工事</t>
  </si>
  <si>
    <r>
      <rPr>
        <sz val="10"/>
        <color rgb="FF000000"/>
        <rFont val="WenQuanYi Zen Hei"/>
        <family val="2"/>
      </rPr>
      <t xml:space="preserve">設計図書確認（川上谷川</t>
    </r>
    <r>
      <rPr>
        <sz val="10"/>
        <color rgb="FF000000"/>
        <rFont val="ＭＳ Ｐ明朝"/>
        <family val="0"/>
        <charset val="1"/>
      </rPr>
      <t xml:space="preserve">/</t>
    </r>
    <r>
      <rPr>
        <sz val="10"/>
        <color rgb="FF000000"/>
        <rFont val="WenQuanYi Zen Hei"/>
        <family val="2"/>
      </rPr>
      <t xml:space="preserve">成願寺川緊急浚渫）</t>
    </r>
  </si>
  <si>
    <t xml:space="preserve">PM1:30</t>
  </si>
  <si>
    <t xml:space="preserve">現場調査</t>
  </si>
  <si>
    <r>
      <rPr>
        <b val="true"/>
        <sz val="10"/>
        <rFont val="WenQuanYi Zen Hei"/>
        <family val="2"/>
      </rPr>
      <t xml:space="preserve">第</t>
    </r>
    <r>
      <rPr>
        <b val="true"/>
        <sz val="10"/>
        <rFont val="ＭＳ Ｐ明朝"/>
        <family val="0"/>
        <charset val="1"/>
      </rPr>
      <t xml:space="preserve">3</t>
    </r>
    <r>
      <rPr>
        <b val="true"/>
        <sz val="10"/>
        <rFont val="WenQuanYi Zen Hei"/>
        <family val="2"/>
      </rPr>
      <t xml:space="preserve">条第</t>
    </r>
    <r>
      <rPr>
        <b val="true"/>
        <sz val="10"/>
        <rFont val="ＭＳ Ｐ明朝"/>
        <family val="0"/>
        <charset val="1"/>
      </rPr>
      <t xml:space="preserve">3</t>
    </r>
    <r>
      <rPr>
        <b val="true"/>
        <sz val="10"/>
        <rFont val="WenQuanYi Zen Hei"/>
        <family val="2"/>
      </rPr>
      <t xml:space="preserve">項</t>
    </r>
    <r>
      <rPr>
        <b val="true"/>
        <sz val="10"/>
        <rFont val="ＭＳ Ｐ明朝"/>
        <family val="0"/>
        <charset val="1"/>
      </rPr>
      <t xml:space="preserve">(6)</t>
    </r>
  </si>
  <si>
    <r>
      <rPr>
        <sz val="10"/>
        <color rgb="FF0000FF"/>
        <rFont val="WenQuanYi Zen Hei"/>
        <family val="2"/>
      </rPr>
      <t xml:space="preserve">第</t>
    </r>
    <r>
      <rPr>
        <sz val="10"/>
        <color rgb="FF0000FF"/>
        <rFont val="ＭＳ Ｐ明朝"/>
        <family val="0"/>
        <charset val="1"/>
      </rPr>
      <t xml:space="preserve">3</t>
    </r>
    <r>
      <rPr>
        <sz val="10"/>
        <color rgb="FF0000FF"/>
        <rFont val="WenQuanYi Zen Hei"/>
        <family val="2"/>
      </rPr>
      <t xml:space="preserve">条第</t>
    </r>
    <r>
      <rPr>
        <sz val="10"/>
        <color rgb="FF0000FF"/>
        <rFont val="ＭＳ Ｐ明朝"/>
        <family val="0"/>
        <charset val="1"/>
      </rPr>
      <t xml:space="preserve">3</t>
    </r>
    <r>
      <rPr>
        <sz val="10"/>
        <color rgb="FF0000FF"/>
        <rFont val="WenQuanYi Zen Hei"/>
        <family val="2"/>
      </rPr>
      <t xml:space="preserve">項</t>
    </r>
    <r>
      <rPr>
        <sz val="10"/>
        <color rgb="FF0000FF"/>
        <rFont val="ＭＳ Ｐ明朝"/>
        <family val="0"/>
        <charset val="1"/>
      </rPr>
      <t xml:space="preserve">(6)</t>
    </r>
  </si>
  <si>
    <t xml:space="preserve">AM11:00</t>
  </si>
  <si>
    <t xml:space="preserve">現場技術業務</t>
  </si>
  <si>
    <t xml:space="preserve">現場技術業務 検査資料取り纏め</t>
  </si>
  <si>
    <r>
      <rPr>
        <b val="true"/>
        <sz val="10"/>
        <rFont val="WenQuanYi Zen Hei"/>
        <family val="2"/>
      </rPr>
      <t xml:space="preserve">第</t>
    </r>
    <r>
      <rPr>
        <b val="true"/>
        <sz val="10"/>
        <rFont val="ＭＳ Ｐ明朝"/>
        <family val="0"/>
        <charset val="1"/>
      </rPr>
      <t xml:space="preserve">3</t>
    </r>
    <r>
      <rPr>
        <b val="true"/>
        <sz val="10"/>
        <rFont val="WenQuanYi Zen Hei"/>
        <family val="2"/>
      </rPr>
      <t xml:space="preserve">条第</t>
    </r>
    <r>
      <rPr>
        <b val="true"/>
        <sz val="10"/>
        <rFont val="ＭＳ Ｐ明朝"/>
        <family val="0"/>
        <charset val="1"/>
      </rPr>
      <t xml:space="preserve">4</t>
    </r>
    <r>
      <rPr>
        <b val="true"/>
        <sz val="10"/>
        <rFont val="WenQuanYi Zen Hei"/>
        <family val="2"/>
      </rPr>
      <t xml:space="preserve">項</t>
    </r>
  </si>
  <si>
    <r>
      <rPr>
        <sz val="10"/>
        <color rgb="FF0000FF"/>
        <rFont val="WenQuanYi Zen Hei"/>
        <family val="2"/>
      </rPr>
      <t xml:space="preserve">第</t>
    </r>
    <r>
      <rPr>
        <sz val="10"/>
        <color rgb="FF0000FF"/>
        <rFont val="ＭＳ Ｐ明朝"/>
        <family val="0"/>
        <charset val="1"/>
      </rPr>
      <t xml:space="preserve">3</t>
    </r>
    <r>
      <rPr>
        <sz val="10"/>
        <color rgb="FF0000FF"/>
        <rFont val="WenQuanYi Zen Hei"/>
        <family val="2"/>
      </rPr>
      <t xml:space="preserve">条第</t>
    </r>
    <r>
      <rPr>
        <sz val="10"/>
        <color rgb="FF0000FF"/>
        <rFont val="ＭＳ Ｐ明朝"/>
        <family val="0"/>
        <charset val="1"/>
      </rPr>
      <t xml:space="preserve">4</t>
    </r>
    <r>
      <rPr>
        <sz val="10"/>
        <color rgb="FF0000FF"/>
        <rFont val="WenQuanYi Zen Hei"/>
        <family val="2"/>
      </rPr>
      <t xml:space="preserve">項</t>
    </r>
  </si>
  <si>
    <t xml:space="preserve">当月該当業務なし</t>
  </si>
  <si>
    <r>
      <rPr>
        <b val="true"/>
        <sz val="10"/>
        <rFont val="WenQuanYi Zen Hei"/>
        <family val="2"/>
      </rPr>
      <t xml:space="preserve">第</t>
    </r>
    <r>
      <rPr>
        <b val="true"/>
        <sz val="10"/>
        <rFont val="ＭＳ Ｐ明朝"/>
        <family val="0"/>
        <charset val="1"/>
      </rPr>
      <t xml:space="preserve">5</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</si>
  <si>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5</t>
    </r>
    <r>
      <rPr>
        <sz val="10"/>
        <color rgb="FF0000FF"/>
        <rFont val="WenQuanYi Zen Hei"/>
        <family val="2"/>
      </rPr>
      <t xml:space="preserve">条</t>
    </r>
  </si>
  <si>
    <t xml:space="preserve">―</t>
  </si>
  <si>
    <r>
      <rPr>
        <sz val="10"/>
        <color rgb="FF000000"/>
        <rFont val="ＭＳ Ｐ明朝"/>
        <family val="0"/>
        <charset val="1"/>
      </rPr>
      <t xml:space="preserve">AM8:30 </t>
    </r>
    <r>
      <rPr>
        <sz val="10"/>
        <color rgb="FF000000"/>
        <rFont val="WenQuanYi Zen Hei"/>
        <family val="2"/>
      </rPr>
      <t xml:space="preserve">業務内容打合せ（業務処理予定の確認）、</t>
    </r>
    <r>
      <rPr>
        <sz val="10"/>
        <color rgb="FF000000"/>
        <rFont val="ＭＳ Ｐ明朝"/>
        <family val="0"/>
        <charset val="1"/>
      </rPr>
      <t xml:space="preserve">PM4:30 </t>
    </r>
    <r>
      <rPr>
        <sz val="10"/>
        <color rgb="FF000000"/>
        <rFont val="WenQuanYi Zen Hei"/>
        <family val="2"/>
      </rPr>
      <t xml:space="preserve">業務処理結果報告書作成、</t>
    </r>
    <r>
      <rPr>
        <sz val="10"/>
        <color rgb="FF000000"/>
        <rFont val="ＭＳ Ｐ明朝"/>
        <family val="0"/>
        <charset val="1"/>
      </rPr>
      <t xml:space="preserve">PM5:10 </t>
    </r>
    <r>
      <rPr>
        <sz val="10"/>
        <color rgb="FF000000"/>
        <rFont val="WenQuanYi Zen Hei"/>
        <family val="2"/>
      </rPr>
      <t xml:space="preserve">翌日作業打合せ（業務処理予定）</t>
    </r>
  </si>
  <si>
    <r>
      <rPr>
        <sz val="10"/>
        <color rgb="FF000000"/>
        <rFont val="WenQuanYi Zen Hei"/>
        <family val="2"/>
      </rPr>
      <t xml:space="preserve">日常定型業務（</t>
    </r>
    <r>
      <rPr>
        <sz val="10"/>
        <color rgb="FF000000"/>
        <rFont val="ＭＳ Ｐ明朝"/>
        <family val="0"/>
        <charset val="1"/>
      </rPr>
      <t xml:space="preserve">1</t>
    </r>
    <r>
      <rPr>
        <sz val="10"/>
        <color rgb="FF000000"/>
        <rFont val="WenQuanYi Zen Hei"/>
        <family val="2"/>
      </rPr>
      <t xml:space="preserve">日</t>
    </r>
    <r>
      <rPr>
        <sz val="10"/>
        <color rgb="FF000000"/>
        <rFont val="ＭＳ Ｐ明朝"/>
        <family val="0"/>
        <charset val="1"/>
      </rPr>
      <t xml:space="preserve">1</t>
    </r>
    <r>
      <rPr>
        <sz val="10"/>
        <color rgb="FF000000"/>
        <rFont val="WenQuanYi Zen Hei"/>
        <family val="2"/>
      </rPr>
      <t xml:space="preserve">行に集約）</t>
    </r>
  </si>
  <si>
    <r>
      <rPr>
        <sz val="10"/>
        <color rgb="FF000000"/>
        <rFont val="ＭＳ Ｐ明朝"/>
        <family val="0"/>
        <charset val="1"/>
      </rPr>
      <t xml:space="preserve">AM8:30 </t>
    </r>
    <r>
      <rPr>
        <sz val="10"/>
        <color rgb="FF000000"/>
        <rFont val="WenQuanYi Zen Hei"/>
        <family val="2"/>
      </rPr>
      <t xml:space="preserve">業務内容打合せ（業務処理予定の確認）、</t>
    </r>
    <r>
      <rPr>
        <sz val="10"/>
        <color rgb="FF000000"/>
        <rFont val="ＭＳ Ｐ明朝"/>
        <family val="0"/>
        <charset val="1"/>
      </rPr>
      <t xml:space="preserve">PM4:00 </t>
    </r>
    <r>
      <rPr>
        <sz val="10"/>
        <color rgb="FF000000"/>
        <rFont val="WenQuanYi Zen Hei"/>
        <family val="2"/>
      </rPr>
      <t xml:space="preserve">業務処理結果報告書作成、</t>
    </r>
    <r>
      <rPr>
        <sz val="10"/>
        <color rgb="FF000000"/>
        <rFont val="ＭＳ Ｐ明朝"/>
        <family val="0"/>
        <charset val="1"/>
      </rPr>
      <t xml:space="preserve">PM5:10 </t>
    </r>
    <r>
      <rPr>
        <sz val="10"/>
        <color rgb="FF000000"/>
        <rFont val="WenQuanYi Zen Hei"/>
        <family val="2"/>
      </rPr>
      <t xml:space="preserve">翌日作業打合せ（業務処理予定）</t>
    </r>
  </si>
  <si>
    <t xml:space="preserve">業務報告書・社内資料作成</t>
  </si>
  <si>
    <r>
      <rPr>
        <sz val="10"/>
        <color rgb="FF000000"/>
        <rFont val="ＭＳ Ｐ明朝"/>
        <family val="0"/>
        <charset val="1"/>
      </rPr>
      <t xml:space="preserve">AM8:30 </t>
    </r>
    <r>
      <rPr>
        <sz val="10"/>
        <color rgb="FF000000"/>
        <rFont val="WenQuanYi Zen Hei"/>
        <family val="2"/>
      </rPr>
      <t xml:space="preserve">業務内容打合せ（業務処理予定の確認）、</t>
    </r>
    <r>
      <rPr>
        <sz val="10"/>
        <color rgb="FF000000"/>
        <rFont val="ＭＳ Ｐ明朝"/>
        <family val="0"/>
        <charset val="1"/>
      </rPr>
      <t xml:space="preserve">PM4:30 </t>
    </r>
    <r>
      <rPr>
        <sz val="10"/>
        <color rgb="FF000000"/>
        <rFont val="WenQuanYi Zen Hei"/>
        <family val="2"/>
      </rPr>
      <t xml:space="preserve">業務処理結果報告書作成</t>
    </r>
  </si>
  <si>
    <r>
      <rPr>
        <sz val="10"/>
        <color rgb="FF000000"/>
        <rFont val="WenQuanYi Zen Hei"/>
        <family val="2"/>
      </rPr>
      <t xml:space="preserve">乾技師</t>
    </r>
    <r>
      <rPr>
        <sz val="10"/>
        <color rgb="FF000000"/>
        <rFont val="ＭＳ Ｐ明朝"/>
        <family val="0"/>
        <charset val="1"/>
      </rPr>
      <t xml:space="preserve">/</t>
    </r>
    <r>
      <rPr>
        <sz val="10"/>
        <color rgb="FF000000"/>
        <rFont val="WenQuanYi Zen Hei"/>
        <family val="2"/>
      </rPr>
      <t xml:space="preserve">倉垣副主査</t>
    </r>
  </si>
  <si>
    <r>
      <rPr>
        <sz val="10"/>
        <color rgb="FF000000"/>
        <rFont val="ＭＳ Ｐ明朝"/>
        <family val="0"/>
        <charset val="1"/>
      </rPr>
      <t xml:space="preserve">AM9:00 </t>
    </r>
    <r>
      <rPr>
        <sz val="10"/>
        <color rgb="FF000000"/>
        <rFont val="WenQuanYi Zen Hei"/>
        <family val="2"/>
      </rPr>
      <t xml:space="preserve">業務内容打合せ（業務処理予定の確認）、</t>
    </r>
    <r>
      <rPr>
        <sz val="10"/>
        <color rgb="FF000000"/>
        <rFont val="ＭＳ Ｐ明朝"/>
        <family val="0"/>
        <charset val="1"/>
      </rPr>
      <t xml:space="preserve">PM4:00 </t>
    </r>
    <r>
      <rPr>
        <sz val="10"/>
        <color rgb="FF000000"/>
        <rFont val="WenQuanYi Zen Hei"/>
        <family val="2"/>
      </rPr>
      <t xml:space="preserve">業務処理結果報告書作成、</t>
    </r>
    <r>
      <rPr>
        <sz val="10"/>
        <color rgb="FF000000"/>
        <rFont val="ＭＳ Ｐ明朝"/>
        <family val="0"/>
        <charset val="1"/>
      </rPr>
      <t xml:space="preserve">PM5:10 </t>
    </r>
    <r>
      <rPr>
        <sz val="10"/>
        <color rgb="FF000000"/>
        <rFont val="WenQuanYi Zen Hei"/>
        <family val="2"/>
      </rPr>
      <t xml:space="preserve">翌日作業打合せ（業務処理予定）</t>
    </r>
  </si>
  <si>
    <r>
      <rPr>
        <b val="true"/>
        <sz val="10"/>
        <rFont val="WenQuanYi Zen Hei"/>
        <family val="2"/>
      </rPr>
      <t xml:space="preserve">第</t>
    </r>
    <r>
      <rPr>
        <b val="true"/>
        <sz val="10"/>
        <rFont val="ＭＳ Ｐ明朝"/>
        <family val="0"/>
        <charset val="1"/>
      </rPr>
      <t xml:space="preserve">6</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</si>
  <si>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6</t>
    </r>
    <r>
      <rPr>
        <sz val="10"/>
        <color rgb="FF0000FF"/>
        <rFont val="WenQuanYi Zen Hei"/>
        <family val="2"/>
      </rPr>
      <t xml:space="preserve">条</t>
    </r>
  </si>
  <si>
    <r>
      <rPr>
        <b val="true"/>
        <sz val="10"/>
        <rFont val="WenQuanYi Zen Hei"/>
        <family val="2"/>
      </rPr>
      <t xml:space="preserve">第</t>
    </r>
    <r>
      <rPr>
        <b val="true"/>
        <sz val="10"/>
        <rFont val="ＭＳ Ｐ明朝"/>
        <family val="0"/>
        <charset val="1"/>
      </rPr>
      <t xml:space="preserve">7</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</si>
  <si>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7</t>
    </r>
    <r>
      <rPr>
        <sz val="10"/>
        <color rgb="FF0000FF"/>
        <rFont val="WenQuanYi Zen Hei"/>
        <family val="2"/>
      </rPr>
      <t xml:space="preserve">条</t>
    </r>
  </si>
  <si>
    <t xml:space="preserve">AM9:30</t>
  </si>
  <si>
    <t xml:space="preserve">川上谷川緊急浚渫推進（河川）工事</t>
  </si>
  <si>
    <t xml:space="preserve">川上谷川緊急浚渫  修正資料確認他</t>
  </si>
  <si>
    <t xml:space="preserve">管内一円（河梨川他）府民協働型インフラ保全工事</t>
  </si>
  <si>
    <r>
      <rPr>
        <sz val="10"/>
        <color rgb="FF000000"/>
        <rFont val="ＭＳ Ｐ明朝"/>
        <family val="0"/>
        <charset val="1"/>
      </rPr>
      <t xml:space="preserve">ASP</t>
    </r>
    <r>
      <rPr>
        <sz val="10"/>
        <color rgb="FF000000"/>
        <rFont val="WenQuanYi Zen Hei"/>
        <family val="2"/>
      </rPr>
      <t xml:space="preserve">内容確認（河梨川他府民インフラ保全工事）</t>
    </r>
  </si>
  <si>
    <t xml:space="preserve">川上谷川緊急浚渫  修正資料再確認他</t>
  </si>
  <si>
    <r>
      <rPr>
        <sz val="10"/>
        <color rgb="FF000000"/>
        <rFont val="WenQuanYi Zen Hei"/>
        <family val="2"/>
      </rPr>
      <t xml:space="preserve">川上谷川緊急浚渫  </t>
    </r>
    <r>
      <rPr>
        <sz val="10"/>
        <color rgb="FF000000"/>
        <rFont val="ＭＳ Ｐ明朝"/>
        <family val="0"/>
        <charset val="1"/>
      </rPr>
      <t xml:space="preserve">ASP</t>
    </r>
    <r>
      <rPr>
        <sz val="10"/>
        <color rgb="FF000000"/>
        <rFont val="WenQuanYi Zen Hei"/>
        <family val="2"/>
      </rPr>
      <t xml:space="preserve">内容他打合せ</t>
    </r>
  </si>
  <si>
    <r>
      <rPr>
        <sz val="10"/>
        <color rgb="FF000000"/>
        <rFont val="WenQuanYi Zen Hei"/>
        <family val="2"/>
      </rPr>
      <t xml:space="preserve">河梨川他インフラ </t>
    </r>
    <r>
      <rPr>
        <sz val="10"/>
        <color rgb="FF000000"/>
        <rFont val="ＭＳ Ｐ明朝"/>
        <family val="0"/>
        <charset val="1"/>
      </rPr>
      <t xml:space="preserve">ASP </t>
    </r>
    <r>
      <rPr>
        <sz val="10"/>
        <color rgb="FF000000"/>
        <rFont val="WenQuanYi Zen Hei"/>
        <family val="2"/>
      </rPr>
      <t xml:space="preserve">段階確認資料確認</t>
    </r>
  </si>
  <si>
    <t xml:space="preserve">川上谷川緊急浚渫  修正資料確認</t>
  </si>
  <si>
    <t xml:space="preserve">川上谷川緊急浚渫 施工計画書点検</t>
  </si>
  <si>
    <t xml:space="preserve">竹野川他府民協働型インフラ保全工事</t>
  </si>
  <si>
    <r>
      <rPr>
        <sz val="10"/>
        <color rgb="FF000000"/>
        <rFont val="ＭＳ Ｐ明朝"/>
        <family val="0"/>
        <charset val="1"/>
      </rPr>
      <t xml:space="preserve">ASP</t>
    </r>
    <r>
      <rPr>
        <sz val="10"/>
        <color rgb="FF000000"/>
        <rFont val="WenQuanYi Zen Hei"/>
        <family val="2"/>
      </rPr>
      <t xml:space="preserve">内容確認 （竹野川他インフラ）</t>
    </r>
  </si>
  <si>
    <t xml:space="preserve">川上谷川緊急浚渫 施工計画書再チェック（メール受信）</t>
  </si>
  <si>
    <t xml:space="preserve">【書面資料打合せ】川上谷川緊急浚渫 施工計画書他</t>
  </si>
  <si>
    <t xml:space="preserve">小野澤建材㈱</t>
  </si>
  <si>
    <r>
      <rPr>
        <sz val="10"/>
        <color rgb="FF000000"/>
        <rFont val="ＭＳ Ｐ明朝"/>
        <family val="0"/>
        <charset val="1"/>
      </rPr>
      <t xml:space="preserve">ASP</t>
    </r>
    <r>
      <rPr>
        <sz val="10"/>
        <color rgb="FF000000"/>
        <rFont val="WenQuanYi Zen Hei"/>
        <family val="2"/>
      </rPr>
      <t xml:space="preserve">内 提出資料確認</t>
    </r>
  </si>
  <si>
    <t xml:space="preserve">施工体制台帳点検（川上谷川緊急浚渫）</t>
  </si>
  <si>
    <r>
      <rPr>
        <sz val="10"/>
        <color rgb="FF000000"/>
        <rFont val="ＭＳ Ｐ明朝"/>
        <family val="0"/>
        <charset val="1"/>
      </rPr>
      <t xml:space="preserve">ASP </t>
    </r>
    <r>
      <rPr>
        <sz val="10"/>
        <color rgb="FF000000"/>
        <rFont val="WenQuanYi Zen Hei"/>
        <family val="2"/>
      </rPr>
      <t xml:space="preserve">再生資源利用実施書再確認</t>
    </r>
  </si>
  <si>
    <t xml:space="preserve">㈱修己建設</t>
  </si>
  <si>
    <r>
      <rPr>
        <sz val="10"/>
        <color rgb="FF000000"/>
        <rFont val="ＭＳ Ｐ明朝"/>
        <family val="0"/>
        <charset val="1"/>
      </rPr>
      <t xml:space="preserve">ASP </t>
    </r>
    <r>
      <rPr>
        <sz val="10"/>
        <color rgb="FF000000"/>
        <rFont val="WenQuanYi Zen Hei"/>
        <family val="2"/>
      </rPr>
      <t xml:space="preserve">再生資源利用実施書確認～再修正依頼（修己建設）</t>
    </r>
  </si>
  <si>
    <r>
      <rPr>
        <sz val="10"/>
        <color rgb="FF000000"/>
        <rFont val="ＭＳ Ｐ明朝"/>
        <family val="0"/>
        <charset val="1"/>
      </rPr>
      <t xml:space="preserve">ASP </t>
    </r>
    <r>
      <rPr>
        <sz val="10"/>
        <color rgb="FF000000"/>
        <rFont val="WenQuanYi Zen Hei"/>
        <family val="2"/>
      </rPr>
      <t xml:space="preserve">再生資源利用実施書修正確認（修己建設）</t>
    </r>
  </si>
  <si>
    <r>
      <rPr>
        <sz val="10"/>
        <color rgb="FF000000"/>
        <rFont val="WenQuanYi Zen Hei"/>
        <family val="2"/>
      </rPr>
      <t xml:space="preserve">河梨川他インフラ </t>
    </r>
    <r>
      <rPr>
        <sz val="10"/>
        <color rgb="FF000000"/>
        <rFont val="ＭＳ Ｐ明朝"/>
        <family val="0"/>
        <charset val="1"/>
      </rPr>
      <t xml:space="preserve">ASP</t>
    </r>
    <r>
      <rPr>
        <sz val="10"/>
        <color rgb="FF000000"/>
        <rFont val="WenQuanYi Zen Hei"/>
        <family val="2"/>
      </rPr>
      <t xml:space="preserve">内確認</t>
    </r>
  </si>
  <si>
    <t xml:space="preserve">PM2:30</t>
  </si>
  <si>
    <r>
      <rPr>
        <sz val="10"/>
        <color rgb="FF000000"/>
        <rFont val="WenQuanYi Zen Hei"/>
        <family val="2"/>
      </rPr>
      <t xml:space="preserve">河梨川他インフラ </t>
    </r>
    <r>
      <rPr>
        <sz val="10"/>
        <color rgb="FF000000"/>
        <rFont val="ＭＳ Ｐ明朝"/>
        <family val="0"/>
        <charset val="1"/>
      </rPr>
      <t xml:space="preserve">ASP</t>
    </r>
    <r>
      <rPr>
        <sz val="10"/>
        <color rgb="FF000000"/>
        <rFont val="WenQuanYi Zen Hei"/>
        <family val="2"/>
      </rPr>
      <t xml:space="preserve">提出書類点検</t>
    </r>
  </si>
  <si>
    <t xml:space="preserve">川上谷川緊急浚渫 施工体制台帳点検</t>
  </si>
  <si>
    <t xml:space="preserve">再生資源利用実施書修正確認（修己建設）</t>
  </si>
  <si>
    <t xml:space="preserve">成願寺川浚渫 施工計画書点検（サンキ工業）</t>
  </si>
  <si>
    <r>
      <rPr>
        <b val="true"/>
        <sz val="10"/>
        <rFont val="WenQuanYi Zen Hei"/>
        <family val="2"/>
      </rPr>
      <t xml:space="preserve">第</t>
    </r>
    <r>
      <rPr>
        <b val="true"/>
        <sz val="10"/>
        <rFont val="ＭＳ Ｐ明朝"/>
        <family val="0"/>
        <charset val="1"/>
      </rPr>
      <t xml:space="preserve">8</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</si>
  <si>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8</t>
    </r>
    <r>
      <rPr>
        <sz val="10"/>
        <color rgb="FF0000FF"/>
        <rFont val="WenQuanYi Zen Hei"/>
        <family val="2"/>
      </rPr>
      <t xml:space="preserve">条</t>
    </r>
  </si>
  <si>
    <t xml:space="preserve">現場立会 久美浜町金谷・畑地区</t>
  </si>
  <si>
    <t xml:space="preserve">PM3:30</t>
  </si>
  <si>
    <t xml:space="preserve">川上谷川緊急浚渫推進立会議事整理</t>
  </si>
  <si>
    <t xml:space="preserve">川上谷川緊急浚渫 立会メモ資料追記</t>
  </si>
  <si>
    <r>
      <rPr>
        <sz val="10"/>
        <color rgb="FF000000"/>
        <rFont val="WenQuanYi Zen Hei"/>
        <family val="2"/>
      </rPr>
      <t xml:space="preserve">川上谷川緊急浚渫 </t>
    </r>
    <r>
      <rPr>
        <sz val="10"/>
        <color rgb="FF000000"/>
        <rFont val="ＭＳ Ｐ明朝"/>
        <family val="0"/>
        <charset val="1"/>
      </rPr>
      <t xml:space="preserve">ASP</t>
    </r>
    <r>
      <rPr>
        <sz val="10"/>
        <color rgb="FF000000"/>
        <rFont val="WenQuanYi Zen Hei"/>
        <family val="2"/>
      </rPr>
      <t xml:space="preserve">へ追記資料アップ</t>
    </r>
  </si>
  <si>
    <r>
      <rPr>
        <sz val="10"/>
        <color rgb="FF000000"/>
        <rFont val="WenQuanYi Zen Hei"/>
        <family val="2"/>
      </rPr>
      <t xml:space="preserve">川上谷川緊急浚渫 立会メモ再確認</t>
    </r>
    <r>
      <rPr>
        <sz val="10"/>
        <color rgb="FF000000"/>
        <rFont val="ＭＳ Ｐ明朝"/>
        <family val="0"/>
        <charset val="1"/>
      </rPr>
      <t xml:space="preserve">ASP</t>
    </r>
    <r>
      <rPr>
        <sz val="10"/>
        <color rgb="FF000000"/>
        <rFont val="WenQuanYi Zen Hei"/>
        <family val="2"/>
      </rPr>
      <t xml:space="preserve">へアップ</t>
    </r>
  </si>
  <si>
    <r>
      <rPr>
        <b val="true"/>
        <sz val="10"/>
        <rFont val="WenQuanYi Zen Hei"/>
        <family val="2"/>
      </rPr>
      <t xml:space="preserve">第</t>
    </r>
    <r>
      <rPr>
        <b val="true"/>
        <sz val="10"/>
        <rFont val="ＭＳ Ｐ明朝"/>
        <family val="0"/>
        <charset val="1"/>
      </rPr>
      <t xml:space="preserve">9</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</si>
  <si>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9</t>
    </r>
    <r>
      <rPr>
        <sz val="10"/>
        <color rgb="FF0000FF"/>
        <rFont val="WenQuanYi Zen Hei"/>
        <family val="2"/>
      </rPr>
      <t xml:space="preserve">条</t>
    </r>
  </si>
  <si>
    <r>
      <rPr>
        <b val="true"/>
        <sz val="10"/>
        <rFont val="WenQuanYi Zen Hei"/>
        <family val="2"/>
      </rPr>
      <t xml:space="preserve">第</t>
    </r>
    <r>
      <rPr>
        <b val="true"/>
        <sz val="10"/>
        <rFont val="ＭＳ Ｐ明朝"/>
        <family val="0"/>
        <charset val="1"/>
      </rPr>
      <t xml:space="preserve">10</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</si>
  <si>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10</t>
    </r>
    <r>
      <rPr>
        <sz val="10"/>
        <color rgb="FF0000FF"/>
        <rFont val="WenQuanYi Zen Hei"/>
        <family val="2"/>
      </rPr>
      <t xml:space="preserve">条</t>
    </r>
  </si>
  <si>
    <r>
      <rPr>
        <b val="true"/>
        <sz val="10"/>
        <rFont val="WenQuanYi Zen Hei"/>
        <family val="2"/>
      </rPr>
      <t xml:space="preserve">第</t>
    </r>
    <r>
      <rPr>
        <b val="true"/>
        <sz val="10"/>
        <rFont val="ＭＳ Ｐ明朝"/>
        <family val="0"/>
        <charset val="1"/>
      </rPr>
      <t xml:space="preserve">11</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</si>
  <si>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11</t>
    </r>
    <r>
      <rPr>
        <sz val="10"/>
        <color rgb="FF0000FF"/>
        <rFont val="WenQuanYi Zen Hei"/>
        <family val="2"/>
      </rPr>
      <t xml:space="preserve">条</t>
    </r>
  </si>
  <si>
    <r>
      <rPr>
        <b val="true"/>
        <sz val="10"/>
        <rFont val="WenQuanYi Zen Hei"/>
        <family val="2"/>
      </rPr>
      <t xml:space="preserve">第</t>
    </r>
    <r>
      <rPr>
        <b val="true"/>
        <sz val="10"/>
        <rFont val="ＭＳ Ｐ明朝"/>
        <family val="0"/>
        <charset val="1"/>
      </rPr>
      <t xml:space="preserve">12</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</si>
  <si>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12</t>
    </r>
    <r>
      <rPr>
        <sz val="10"/>
        <color rgb="FF0000FF"/>
        <rFont val="WenQuanYi Zen Hei"/>
        <family val="2"/>
      </rPr>
      <t xml:space="preserve">条</t>
    </r>
  </si>
  <si>
    <r>
      <rPr>
        <b val="true"/>
        <sz val="10"/>
        <rFont val="WenQuanYi Zen Hei"/>
        <family val="2"/>
      </rPr>
      <t xml:space="preserve">第</t>
    </r>
    <r>
      <rPr>
        <b val="true"/>
        <sz val="10"/>
        <rFont val="ＭＳ Ｐ明朝"/>
        <family val="0"/>
        <charset val="1"/>
      </rPr>
      <t xml:space="preserve">13</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</si>
  <si>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13</t>
    </r>
    <r>
      <rPr>
        <sz val="10"/>
        <color rgb="FF0000FF"/>
        <rFont val="WenQuanYi Zen Hei"/>
        <family val="2"/>
      </rPr>
      <t xml:space="preserve">条</t>
    </r>
  </si>
  <si>
    <r>
      <rPr>
        <b val="true"/>
        <sz val="10"/>
        <rFont val="WenQuanYi Zen Hei"/>
        <family val="2"/>
      </rPr>
      <t xml:space="preserve">第</t>
    </r>
    <r>
      <rPr>
        <b val="true"/>
        <sz val="10"/>
        <rFont val="ＭＳ Ｐ明朝"/>
        <family val="0"/>
        <charset val="1"/>
      </rPr>
      <t xml:space="preserve">14</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</si>
  <si>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14</t>
    </r>
    <r>
      <rPr>
        <sz val="10"/>
        <color rgb="FF0000FF"/>
        <rFont val="WenQuanYi Zen Hei"/>
        <family val="2"/>
      </rPr>
      <t xml:space="preserve">条</t>
    </r>
  </si>
  <si>
    <t xml:space="preserve">工事完成下検査（主任監督員）</t>
  </si>
  <si>
    <t xml:space="preserve">竣工検査立会（書面）</t>
  </si>
  <si>
    <r>
      <rPr>
        <sz val="10"/>
        <color rgb="FF000000"/>
        <rFont val="WenQuanYi Zen Hei"/>
        <family val="2"/>
      </rPr>
      <t xml:space="preserve">大橋検査官 </t>
    </r>
    <r>
      <rPr>
        <sz val="10"/>
        <color rgb="FF000000"/>
        <rFont val="ＭＳ Ｐ明朝"/>
        <family val="0"/>
        <charset val="1"/>
      </rPr>
      <t xml:space="preserve">/ </t>
    </r>
    <r>
      <rPr>
        <sz val="10"/>
        <color rgb="FF000000"/>
        <rFont val="WenQuanYi Zen Hei"/>
        <family val="2"/>
      </rPr>
      <t xml:space="preserve">㈱修己建設</t>
    </r>
  </si>
  <si>
    <t xml:space="preserve">竣工検査立会（現地）</t>
  </si>
  <si>
    <t xml:space="preserve">【河川砂防課】河梨川他インフラ 完成図書下検査（西田建設）</t>
  </si>
  <si>
    <r>
      <rPr>
        <sz val="10"/>
        <color rgb="FF000000"/>
        <rFont val="WenQuanYi Zen Hei"/>
        <family val="2"/>
      </rPr>
      <t xml:space="preserve">常本検査官 </t>
    </r>
    <r>
      <rPr>
        <sz val="10"/>
        <color rgb="FF000000"/>
        <rFont val="ＭＳ Ｐ明朝"/>
        <family val="0"/>
        <charset val="1"/>
      </rPr>
      <t xml:space="preserve">/ </t>
    </r>
    <r>
      <rPr>
        <sz val="10"/>
        <color rgb="FF000000"/>
        <rFont val="WenQuanYi Zen Hei"/>
        <family val="2"/>
      </rPr>
      <t xml:space="preserve">西田建設㈱</t>
    </r>
  </si>
  <si>
    <t xml:space="preserve">竣工検査立会（現場）</t>
  </si>
  <si>
    <r>
      <rPr>
        <b val="true"/>
        <sz val="10"/>
        <rFont val="WenQuanYi Zen Hei"/>
        <family val="2"/>
      </rPr>
      <t xml:space="preserve">第</t>
    </r>
    <r>
      <rPr>
        <b val="true"/>
        <sz val="10"/>
        <rFont val="ＭＳ Ｐ明朝"/>
        <family val="0"/>
        <charset val="1"/>
      </rPr>
      <t xml:space="preserve">15</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</si>
  <si>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15</t>
    </r>
    <r>
      <rPr>
        <sz val="10"/>
        <color rgb="FF0000FF"/>
        <rFont val="WenQuanYi Zen Hei"/>
        <family val="2"/>
      </rPr>
      <t xml:space="preserve">条</t>
    </r>
  </si>
  <si>
    <t xml:space="preserve">工事成果品点検～返却（竹野川他府民インフラ保全工事）</t>
  </si>
  <si>
    <t xml:space="preserve">河梨川他インフラ  数量計算書確認</t>
  </si>
  <si>
    <t xml:space="preserve">河梨川他インフラ 変更数量点検</t>
  </si>
  <si>
    <t xml:space="preserve">【河川砂防課】河梨川他インフラ 数量点検資料提出打合せ</t>
  </si>
  <si>
    <t xml:space="preserve">竹野川他インフラ 成果品市チェック</t>
  </si>
  <si>
    <t xml:space="preserve">工事成果品確認 （竹野川他インフラ）</t>
  </si>
  <si>
    <t xml:space="preserve">工事成果品再確認 （竹野川他インフラ）</t>
  </si>
  <si>
    <t xml:space="preserve">変更数量表受理確認（河梨川他インフラ）</t>
  </si>
  <si>
    <r>
      <rPr>
        <sz val="10"/>
        <color rgb="FF000000"/>
        <rFont val="WenQuanYi Zen Hei"/>
        <family val="2"/>
      </rPr>
      <t xml:space="preserve">下検査前 </t>
    </r>
    <r>
      <rPr>
        <sz val="10"/>
        <color rgb="FF000000"/>
        <rFont val="ＭＳ Ｐ明朝"/>
        <family val="0"/>
        <charset val="1"/>
      </rPr>
      <t xml:space="preserve">ASP</t>
    </r>
    <r>
      <rPr>
        <sz val="10"/>
        <color rgb="FF000000"/>
        <rFont val="WenQuanYi Zen Hei"/>
        <family val="2"/>
      </rPr>
      <t xml:space="preserve">内成果品リスト確認 （竹野川他インフラ）</t>
    </r>
  </si>
  <si>
    <t xml:space="preserve">竹野川他インフラ 変更土量等再確認</t>
  </si>
  <si>
    <r>
      <rPr>
        <sz val="10"/>
        <color rgb="FF000000"/>
        <rFont val="WenQuanYi Zen Hei"/>
        <family val="2"/>
      </rPr>
      <t xml:space="preserve">下検査指摘事項による書面見直し</t>
    </r>
    <r>
      <rPr>
        <sz val="10"/>
        <color rgb="FF000000"/>
        <rFont val="ＭＳ Ｐ明朝"/>
        <family val="0"/>
        <charset val="1"/>
      </rPr>
      <t xml:space="preserve">(</t>
    </r>
    <r>
      <rPr>
        <sz val="10"/>
        <color rgb="FF000000"/>
        <rFont val="WenQuanYi Zen Hei"/>
        <family val="2"/>
      </rPr>
      <t xml:space="preserve">竹野川他インフラ</t>
    </r>
    <r>
      <rPr>
        <sz val="10"/>
        <color rgb="FF000000"/>
        <rFont val="ＭＳ Ｐ明朝"/>
        <family val="0"/>
        <charset val="1"/>
      </rPr>
      <t xml:space="preserve">)</t>
    </r>
  </si>
  <si>
    <t xml:space="preserve">【書面資料打合せ】竹野川他インフラ 工事成果品確認</t>
  </si>
  <si>
    <t xml:space="preserve">AM10:30</t>
  </si>
  <si>
    <t xml:space="preserve">施工プロセスチェックシート（竹野川他インフラ）</t>
  </si>
  <si>
    <t xml:space="preserve">プロセスチェックシート修正（竹野川他インフラ）</t>
  </si>
  <si>
    <t xml:space="preserve">【書面資料打合せ】竹野川他インフラ 工事成果品再確認</t>
  </si>
  <si>
    <t xml:space="preserve">工事成果品修正打合せ （竹野川他インフラ）</t>
  </si>
  <si>
    <t xml:space="preserve">川上谷川緊急浚渫（小林主査作成数量総括表確認）</t>
  </si>
  <si>
    <t xml:space="preserve">河梨川他インフラ工事 出来形図書点検</t>
  </si>
  <si>
    <t xml:space="preserve">河梨川他インフラ工事 プロセスチェックシート取り纏め</t>
  </si>
  <si>
    <r>
      <rPr>
        <b val="true"/>
        <sz val="10"/>
        <rFont val="WenQuanYi Zen Hei"/>
        <family val="2"/>
      </rPr>
      <t xml:space="preserve">第</t>
    </r>
    <r>
      <rPr>
        <b val="true"/>
        <sz val="10"/>
        <rFont val="ＭＳ Ｐ明朝"/>
        <family val="0"/>
        <charset val="1"/>
      </rPr>
      <t xml:space="preserve">16</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</si>
  <si>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16</t>
    </r>
    <r>
      <rPr>
        <sz val="10"/>
        <color rgb="FF0000FF"/>
        <rFont val="WenQuanYi Zen Hei"/>
        <family val="2"/>
      </rPr>
      <t xml:space="preserve">条</t>
    </r>
  </si>
  <si>
    <t xml:space="preserve">川上谷川緊急浚渫 別途参考計画書等準備</t>
  </si>
  <si>
    <t xml:space="preserve">PM4:00</t>
  </si>
  <si>
    <t xml:space="preserve">川上谷川緊急浚渫 案内ビラ再チェック</t>
  </si>
  <si>
    <t xml:space="preserve">AM8:45</t>
  </si>
  <si>
    <t xml:space="preserve">管内一円（宇川）府民協働型インフラ保全工事他３件</t>
  </si>
  <si>
    <t xml:space="preserve">地元立会用資料（案）打合せ</t>
  </si>
  <si>
    <r>
      <rPr>
        <sz val="10"/>
        <color rgb="FF000000"/>
        <rFont val="WenQuanYi Zen Hei"/>
        <family val="2"/>
      </rPr>
      <t xml:space="preserve">竹野川（小西川）広域河川改修（補正・防災安全）工事ほか</t>
    </r>
    <r>
      <rPr>
        <sz val="10"/>
        <color rgb="FF000000"/>
        <rFont val="ＭＳ Ｐ明朝"/>
        <family val="0"/>
        <charset val="1"/>
      </rPr>
      <t xml:space="preserve">7</t>
    </r>
    <r>
      <rPr>
        <sz val="10"/>
        <color rgb="FF000000"/>
        <rFont val="WenQuanYi Zen Hei"/>
        <family val="2"/>
      </rPr>
      <t xml:space="preserve">件</t>
    </r>
  </si>
  <si>
    <t xml:space="preserve">地元立会用資料（案）作成</t>
  </si>
  <si>
    <t xml:space="preserve">工事着手前参考資料作成</t>
  </si>
  <si>
    <t xml:space="preserve">竹野川（小西川）広域河川改修 着手前資料作成</t>
  </si>
  <si>
    <r>
      <rPr>
        <b val="true"/>
        <sz val="10"/>
        <rFont val="WenQuanYi Zen Hei"/>
        <family val="2"/>
      </rPr>
      <t xml:space="preserve">第</t>
    </r>
    <r>
      <rPr>
        <b val="true"/>
        <sz val="10"/>
        <rFont val="ＭＳ Ｐ明朝"/>
        <family val="0"/>
        <charset val="1"/>
      </rPr>
      <t xml:space="preserve">17</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</si>
  <si>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17</t>
    </r>
    <r>
      <rPr>
        <sz val="10"/>
        <color rgb="FF0000FF"/>
        <rFont val="WenQuanYi Zen Hei"/>
        <family val="2"/>
      </rPr>
      <t xml:space="preserve">条</t>
    </r>
  </si>
  <si>
    <r>
      <rPr>
        <b val="true"/>
        <sz val="10"/>
        <rFont val="WenQuanYi Zen Hei"/>
        <family val="2"/>
      </rPr>
      <t xml:space="preserve">第</t>
    </r>
    <r>
      <rPr>
        <b val="true"/>
        <sz val="10"/>
        <rFont val="ＭＳ Ｐ明朝"/>
        <family val="0"/>
        <charset val="1"/>
      </rPr>
      <t xml:space="preserve">19</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</si>
  <si>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19</t>
    </r>
    <r>
      <rPr>
        <sz val="10"/>
        <color rgb="FF0000FF"/>
        <rFont val="WenQuanYi Zen Hei"/>
        <family val="2"/>
      </rPr>
      <t xml:space="preserve">条</t>
    </r>
  </si>
  <si>
    <t xml:space="preserve">河口・海岸 定期観測</t>
  </si>
  <si>
    <t xml:space="preserve">木津川河口 定期観測：観測調査作業</t>
  </si>
  <si>
    <r>
      <rPr>
        <sz val="10"/>
        <color rgb="FF000000"/>
        <rFont val="WenQuanYi Zen Hei"/>
        <family val="2"/>
      </rPr>
      <t xml:space="preserve">宇川河口 定期観測：観測調査作業</t>
    </r>
    <r>
      <rPr>
        <sz val="10"/>
        <color rgb="FF000000"/>
        <rFont val="ＭＳ Ｐ明朝"/>
        <family val="0"/>
        <charset val="1"/>
      </rPr>
      <t xml:space="preserve">(</t>
    </r>
    <r>
      <rPr>
        <sz val="10"/>
        <color rgb="FF000000"/>
        <rFont val="WenQuanYi Zen Hei"/>
        <family val="2"/>
      </rPr>
      <t xml:space="preserve">丹後・上野）</t>
    </r>
  </si>
  <si>
    <r>
      <rPr>
        <sz val="10"/>
        <color rgb="FF000000"/>
        <rFont val="WenQuanYi Zen Hei"/>
        <family val="2"/>
      </rPr>
      <t xml:space="preserve">久僧海岸</t>
    </r>
    <r>
      <rPr>
        <sz val="10"/>
        <color rgb="FF000000"/>
        <rFont val="ＭＳ Ｐ明朝"/>
        <family val="0"/>
        <charset val="1"/>
      </rPr>
      <t xml:space="preserve">/</t>
    </r>
    <r>
      <rPr>
        <sz val="10"/>
        <color rgb="FF000000"/>
        <rFont val="WenQuanYi Zen Hei"/>
        <family val="2"/>
      </rPr>
      <t xml:space="preserve">吉野川河口 定期観測：観測調査作業</t>
    </r>
    <r>
      <rPr>
        <sz val="10"/>
        <color rgb="FF000000"/>
        <rFont val="ＭＳ Ｐ明朝"/>
        <family val="0"/>
        <charset val="1"/>
      </rPr>
      <t xml:space="preserve">(</t>
    </r>
    <r>
      <rPr>
        <sz val="10"/>
        <color rgb="FF000000"/>
        <rFont val="WenQuanYi Zen Hei"/>
        <family val="2"/>
      </rPr>
      <t xml:space="preserve">丹後・久僧）</t>
    </r>
  </si>
  <si>
    <r>
      <rPr>
        <b val="true"/>
        <sz val="10"/>
        <rFont val="WenQuanYi Zen Hei"/>
        <family val="2"/>
      </rPr>
      <t xml:space="preserve">第</t>
    </r>
    <r>
      <rPr>
        <b val="true"/>
        <sz val="10"/>
        <rFont val="ＭＳ Ｐ明朝"/>
        <family val="0"/>
        <charset val="1"/>
      </rPr>
      <t xml:space="preserve">20</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</si>
  <si>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20</t>
    </r>
    <r>
      <rPr>
        <sz val="10"/>
        <color rgb="FF0000FF"/>
        <rFont val="WenQuanYi Zen Hei"/>
        <family val="2"/>
      </rPr>
      <t xml:space="preserve">条</t>
    </r>
  </si>
  <si>
    <r>
      <rPr>
        <sz val="9"/>
        <rFont val="WenQuanYi Zen Hei"/>
        <family val="2"/>
      </rPr>
      <t xml:space="preserve">※ 出典：業務処理結果報告書（令和</t>
    </r>
    <r>
      <rPr>
        <sz val="9"/>
        <rFont val="ＭＳ Ｐ明朝"/>
        <family val="0"/>
        <charset val="1"/>
      </rPr>
      <t xml:space="preserve">8</t>
    </r>
    <r>
      <rPr>
        <sz val="9"/>
        <rFont val="WenQuanYi Zen Hei"/>
        <family val="2"/>
      </rPr>
      <t xml:space="preserve">年</t>
    </r>
    <r>
      <rPr>
        <sz val="9"/>
        <rFont val="ＭＳ Ｐ明朝"/>
        <family val="0"/>
        <charset val="1"/>
      </rPr>
      <t xml:space="preserve">9</t>
    </r>
    <r>
      <rPr>
        <sz val="9"/>
        <rFont val="WenQuanYi Zen Hei"/>
        <family val="2"/>
      </rPr>
      <t xml:space="preserve">月分 №</t>
    </r>
    <r>
      <rPr>
        <sz val="9"/>
        <rFont val="ＭＳ Ｐ明朝"/>
        <family val="0"/>
        <charset val="1"/>
      </rPr>
      <t xml:space="preserve">104</t>
    </r>
    <r>
      <rPr>
        <sz val="9"/>
        <rFont val="WenQuanYi Zen Hei"/>
        <family val="2"/>
      </rPr>
      <t xml:space="preserve">～№</t>
    </r>
    <r>
      <rPr>
        <sz val="9"/>
        <rFont val="ＭＳ Ｐ明朝"/>
        <family val="0"/>
        <charset val="1"/>
      </rPr>
      <t xml:space="preserve">122</t>
    </r>
    <r>
      <rPr>
        <sz val="9"/>
        <rFont val="WenQuanYi Zen Hei"/>
        <family val="2"/>
      </rPr>
      <t xml:space="preserve">）の記載内容を、現場技術業務委託共通仕様書の条文ごとに再整理したもの。</t>
    </r>
  </si>
  <si>
    <r>
      <rPr>
        <sz val="9"/>
        <rFont val="WenQuanYi Zen Hei"/>
        <family val="2"/>
      </rPr>
      <t xml:space="preserve">※ 業務内容打合せ・翌日作業打合せ・業務処理結果報告書作成の日常定型業務は第</t>
    </r>
    <r>
      <rPr>
        <sz val="9"/>
        <rFont val="ＭＳ Ｐ明朝"/>
        <family val="0"/>
        <charset val="1"/>
      </rPr>
      <t xml:space="preserve">5</t>
    </r>
    <r>
      <rPr>
        <sz val="9"/>
        <rFont val="WenQuanYi Zen Hei"/>
        <family val="2"/>
      </rPr>
      <t xml:space="preserve">条として</t>
    </r>
    <r>
      <rPr>
        <sz val="9"/>
        <rFont val="ＭＳ Ｐ明朝"/>
        <family val="0"/>
        <charset val="1"/>
      </rPr>
      <t xml:space="preserve">1</t>
    </r>
    <r>
      <rPr>
        <sz val="9"/>
        <rFont val="WenQuanYi Zen Hei"/>
        <family val="2"/>
      </rPr>
      <t xml:space="preserve">日</t>
    </r>
    <r>
      <rPr>
        <sz val="9"/>
        <rFont val="ＭＳ Ｐ明朝"/>
        <family val="0"/>
        <charset val="1"/>
      </rPr>
      <t xml:space="preserve">1</t>
    </r>
    <r>
      <rPr>
        <sz val="9"/>
        <rFont val="WenQuanYi Zen Hei"/>
        <family val="2"/>
      </rPr>
      <t xml:space="preserve">行に集約。</t>
    </r>
  </si>
  <si>
    <r>
      <rPr>
        <sz val="9"/>
        <rFont val="ＭＳ Ｐ明朝"/>
        <family val="0"/>
        <charset val="1"/>
      </rPr>
      <t xml:space="preserve">※ A</t>
    </r>
    <r>
      <rPr>
        <sz val="9"/>
        <rFont val="WenQuanYi Zen Hei"/>
        <family val="2"/>
      </rPr>
      <t xml:space="preserve">列「条文番号」（青字）が振分け先。見出し・条文要旨は「条文マスタ」シートから参照。振分けを変更する場合は</t>
    </r>
    <r>
      <rPr>
        <sz val="9"/>
        <rFont val="ＭＳ Ｐ明朝"/>
        <family val="0"/>
        <charset val="1"/>
      </rPr>
      <t xml:space="preserve">A</t>
    </r>
    <r>
      <rPr>
        <sz val="9"/>
        <rFont val="WenQuanYi Zen Hei"/>
        <family val="2"/>
      </rPr>
      <t xml:space="preserve">列を書き換え、「条文別集計」に自動反映。</t>
    </r>
  </si>
  <si>
    <r>
      <rPr>
        <b val="true"/>
        <sz val="14"/>
        <rFont val="WenQuanYi Zen Hei"/>
        <family val="2"/>
      </rPr>
      <t xml:space="preserve">条文別 実施件数集計表（令和</t>
    </r>
    <r>
      <rPr>
        <b val="true"/>
        <sz val="14"/>
        <rFont val="ＭＳ Ｐ明朝"/>
        <family val="0"/>
        <charset val="1"/>
      </rPr>
      <t xml:space="preserve">8</t>
    </r>
    <r>
      <rPr>
        <b val="true"/>
        <sz val="14"/>
        <rFont val="WenQuanYi Zen Hei"/>
        <family val="2"/>
      </rPr>
      <t xml:space="preserve">年</t>
    </r>
    <r>
      <rPr>
        <b val="true"/>
        <sz val="14"/>
        <rFont val="ＭＳ Ｐ明朝"/>
        <family val="0"/>
        <charset val="1"/>
      </rPr>
      <t xml:space="preserve">9</t>
    </r>
    <r>
      <rPr>
        <b val="true"/>
        <sz val="14"/>
        <rFont val="WenQuanYi Zen Hei"/>
        <family val="2"/>
      </rPr>
      <t xml:space="preserve">月分）</t>
    </r>
  </si>
  <si>
    <r>
      <rPr>
        <sz val="9"/>
        <rFont val="WenQuanYi Zen Hei"/>
        <family val="2"/>
      </rPr>
      <t xml:space="preserve">「条文別整理表」の件数を</t>
    </r>
    <r>
      <rPr>
        <sz val="9"/>
        <rFont val="ＭＳ Ｐ明朝"/>
        <family val="0"/>
        <charset val="1"/>
      </rPr>
      <t xml:space="preserve">COUNTIFS</t>
    </r>
    <r>
      <rPr>
        <sz val="9"/>
        <rFont val="WenQuanYi Zen Hei"/>
        <family val="2"/>
      </rPr>
      <t xml:space="preserve">で集計（件数＝整理表の行数）。</t>
    </r>
  </si>
  <si>
    <t xml:space="preserve">章</t>
  </si>
  <si>
    <t xml:space="preserve">合計件数</t>
  </si>
  <si>
    <r>
      <rPr>
        <sz val="9"/>
        <rFont val="WenQuanYi Zen Hei"/>
        <family val="2"/>
      </rPr>
      <t xml:space="preserve">第</t>
    </r>
    <r>
      <rPr>
        <sz val="9"/>
        <rFont val="ＭＳ Ｐ明朝"/>
        <family val="0"/>
        <charset val="1"/>
      </rPr>
      <t xml:space="preserve">3</t>
    </r>
    <r>
      <rPr>
        <sz val="9"/>
        <rFont val="WenQuanYi Zen Hei"/>
        <family val="2"/>
      </rPr>
      <t xml:space="preserve">条第</t>
    </r>
    <r>
      <rPr>
        <sz val="9"/>
        <rFont val="ＭＳ Ｐ明朝"/>
        <family val="0"/>
        <charset val="1"/>
      </rPr>
      <t xml:space="preserve">3</t>
    </r>
    <r>
      <rPr>
        <sz val="9"/>
        <rFont val="WenQuanYi Zen Hei"/>
        <family val="2"/>
      </rPr>
      <t xml:space="preserve">項</t>
    </r>
    <r>
      <rPr>
        <sz val="9"/>
        <rFont val="ＭＳ Ｐ明朝"/>
        <family val="0"/>
        <charset val="1"/>
      </rPr>
      <t xml:space="preserve">(1)</t>
    </r>
  </si>
  <si>
    <r>
      <rPr>
        <sz val="9"/>
        <rFont val="WenQuanYi Zen Hei"/>
        <family val="2"/>
      </rPr>
      <t xml:space="preserve">第</t>
    </r>
    <r>
      <rPr>
        <sz val="9"/>
        <rFont val="ＭＳ Ｐ明朝"/>
        <family val="0"/>
        <charset val="1"/>
      </rPr>
      <t xml:space="preserve">3</t>
    </r>
    <r>
      <rPr>
        <sz val="9"/>
        <rFont val="WenQuanYi Zen Hei"/>
        <family val="2"/>
      </rPr>
      <t xml:space="preserve">条第</t>
    </r>
    <r>
      <rPr>
        <sz val="9"/>
        <rFont val="ＭＳ Ｐ明朝"/>
        <family val="0"/>
        <charset val="1"/>
      </rPr>
      <t xml:space="preserve">3</t>
    </r>
    <r>
      <rPr>
        <sz val="9"/>
        <rFont val="WenQuanYi Zen Hei"/>
        <family val="2"/>
      </rPr>
      <t xml:space="preserve">項</t>
    </r>
    <r>
      <rPr>
        <sz val="9"/>
        <rFont val="ＭＳ Ｐ明朝"/>
        <family val="0"/>
        <charset val="1"/>
      </rPr>
      <t xml:space="preserve">(4)</t>
    </r>
  </si>
  <si>
    <r>
      <rPr>
        <sz val="9"/>
        <rFont val="WenQuanYi Zen Hei"/>
        <family val="2"/>
      </rPr>
      <t xml:space="preserve">第</t>
    </r>
    <r>
      <rPr>
        <sz val="9"/>
        <rFont val="ＭＳ Ｐ明朝"/>
        <family val="0"/>
        <charset val="1"/>
      </rPr>
      <t xml:space="preserve">3</t>
    </r>
    <r>
      <rPr>
        <sz val="9"/>
        <rFont val="WenQuanYi Zen Hei"/>
        <family val="2"/>
      </rPr>
      <t xml:space="preserve">条第</t>
    </r>
    <r>
      <rPr>
        <sz val="9"/>
        <rFont val="ＭＳ Ｐ明朝"/>
        <family val="0"/>
        <charset val="1"/>
      </rPr>
      <t xml:space="preserve">3</t>
    </r>
    <r>
      <rPr>
        <sz val="9"/>
        <rFont val="WenQuanYi Zen Hei"/>
        <family val="2"/>
      </rPr>
      <t xml:space="preserve">項</t>
    </r>
    <r>
      <rPr>
        <sz val="9"/>
        <rFont val="ＭＳ Ｐ明朝"/>
        <family val="0"/>
        <charset val="1"/>
      </rPr>
      <t xml:space="preserve">(5)</t>
    </r>
  </si>
  <si>
    <r>
      <rPr>
        <sz val="9"/>
        <rFont val="WenQuanYi Zen Hei"/>
        <family val="2"/>
      </rPr>
      <t xml:space="preserve">第</t>
    </r>
    <r>
      <rPr>
        <sz val="9"/>
        <rFont val="ＭＳ Ｐ明朝"/>
        <family val="0"/>
        <charset val="1"/>
      </rPr>
      <t xml:space="preserve">3</t>
    </r>
    <r>
      <rPr>
        <sz val="9"/>
        <rFont val="WenQuanYi Zen Hei"/>
        <family val="2"/>
      </rPr>
      <t xml:space="preserve">条第</t>
    </r>
    <r>
      <rPr>
        <sz val="9"/>
        <rFont val="ＭＳ Ｐ明朝"/>
        <family val="0"/>
        <charset val="1"/>
      </rPr>
      <t xml:space="preserve">3</t>
    </r>
    <r>
      <rPr>
        <sz val="9"/>
        <rFont val="WenQuanYi Zen Hei"/>
        <family val="2"/>
      </rPr>
      <t xml:space="preserve">項</t>
    </r>
    <r>
      <rPr>
        <sz val="9"/>
        <rFont val="ＭＳ Ｐ明朝"/>
        <family val="0"/>
        <charset val="1"/>
      </rPr>
      <t xml:space="preserve">(6)</t>
    </r>
  </si>
  <si>
    <r>
      <rPr>
        <sz val="9"/>
        <rFont val="WenQuanYi Zen Hei"/>
        <family val="2"/>
      </rPr>
      <t xml:space="preserve">第</t>
    </r>
    <r>
      <rPr>
        <sz val="9"/>
        <rFont val="ＭＳ Ｐ明朝"/>
        <family val="0"/>
        <charset val="1"/>
      </rPr>
      <t xml:space="preserve">3</t>
    </r>
    <r>
      <rPr>
        <sz val="9"/>
        <rFont val="WenQuanYi Zen Hei"/>
        <family val="2"/>
      </rPr>
      <t xml:space="preserve">条第</t>
    </r>
    <r>
      <rPr>
        <sz val="9"/>
        <rFont val="ＭＳ Ｐ明朝"/>
        <family val="0"/>
        <charset val="1"/>
      </rPr>
      <t xml:space="preserve">4</t>
    </r>
    <r>
      <rPr>
        <sz val="9"/>
        <rFont val="WenQuanYi Zen Hei"/>
        <family val="2"/>
      </rPr>
      <t xml:space="preserve">項</t>
    </r>
  </si>
  <si>
    <r>
      <rPr>
        <sz val="9"/>
        <rFont val="WenQuanYi Zen Hei"/>
        <family val="2"/>
      </rPr>
      <t xml:space="preserve">第</t>
    </r>
    <r>
      <rPr>
        <sz val="9"/>
        <rFont val="ＭＳ Ｐ明朝"/>
        <family val="0"/>
        <charset val="1"/>
      </rPr>
      <t xml:space="preserve">5</t>
    </r>
    <r>
      <rPr>
        <sz val="9"/>
        <rFont val="WenQuanYi Zen Hei"/>
        <family val="2"/>
      </rPr>
      <t xml:space="preserve">条</t>
    </r>
  </si>
  <si>
    <r>
      <rPr>
        <sz val="9"/>
        <rFont val="WenQuanYi Zen Hei"/>
        <family val="2"/>
      </rPr>
      <t xml:space="preserve">第</t>
    </r>
    <r>
      <rPr>
        <sz val="9"/>
        <rFont val="ＭＳ Ｐ明朝"/>
        <family val="0"/>
        <charset val="1"/>
      </rPr>
      <t xml:space="preserve">6</t>
    </r>
    <r>
      <rPr>
        <sz val="9"/>
        <rFont val="WenQuanYi Zen Hei"/>
        <family val="2"/>
      </rPr>
      <t xml:space="preserve">条</t>
    </r>
  </si>
  <si>
    <r>
      <rPr>
        <sz val="9"/>
        <rFont val="WenQuanYi Zen Hei"/>
        <family val="2"/>
      </rPr>
      <t xml:space="preserve">第</t>
    </r>
    <r>
      <rPr>
        <sz val="9"/>
        <rFont val="ＭＳ Ｐ明朝"/>
        <family val="0"/>
        <charset val="1"/>
      </rPr>
      <t xml:space="preserve">7</t>
    </r>
    <r>
      <rPr>
        <sz val="9"/>
        <rFont val="WenQuanYi Zen Hei"/>
        <family val="2"/>
      </rPr>
      <t xml:space="preserve">条</t>
    </r>
  </si>
  <si>
    <r>
      <rPr>
        <sz val="9"/>
        <rFont val="WenQuanYi Zen Hei"/>
        <family val="2"/>
      </rPr>
      <t xml:space="preserve">第</t>
    </r>
    <r>
      <rPr>
        <sz val="9"/>
        <rFont val="ＭＳ Ｐ明朝"/>
        <family val="0"/>
        <charset val="1"/>
      </rPr>
      <t xml:space="preserve">8</t>
    </r>
    <r>
      <rPr>
        <sz val="9"/>
        <rFont val="WenQuanYi Zen Hei"/>
        <family val="2"/>
      </rPr>
      <t xml:space="preserve">条</t>
    </r>
  </si>
  <si>
    <r>
      <rPr>
        <sz val="9"/>
        <rFont val="WenQuanYi Zen Hei"/>
        <family val="2"/>
      </rPr>
      <t xml:space="preserve">第</t>
    </r>
    <r>
      <rPr>
        <sz val="9"/>
        <rFont val="ＭＳ Ｐ明朝"/>
        <family val="0"/>
        <charset val="1"/>
      </rPr>
      <t xml:space="preserve">9</t>
    </r>
    <r>
      <rPr>
        <sz val="9"/>
        <rFont val="WenQuanYi Zen Hei"/>
        <family val="2"/>
      </rPr>
      <t xml:space="preserve">条</t>
    </r>
  </si>
  <si>
    <r>
      <rPr>
        <sz val="9"/>
        <rFont val="WenQuanYi Zen Hei"/>
        <family val="2"/>
      </rPr>
      <t xml:space="preserve">第</t>
    </r>
    <r>
      <rPr>
        <sz val="9"/>
        <rFont val="ＭＳ Ｐ明朝"/>
        <family val="0"/>
        <charset val="1"/>
      </rPr>
      <t xml:space="preserve">10</t>
    </r>
    <r>
      <rPr>
        <sz val="9"/>
        <rFont val="WenQuanYi Zen Hei"/>
        <family val="2"/>
      </rPr>
      <t xml:space="preserve">条</t>
    </r>
  </si>
  <si>
    <r>
      <rPr>
        <sz val="9"/>
        <rFont val="WenQuanYi Zen Hei"/>
        <family val="2"/>
      </rPr>
      <t xml:space="preserve">第</t>
    </r>
    <r>
      <rPr>
        <sz val="9"/>
        <rFont val="ＭＳ Ｐ明朝"/>
        <family val="0"/>
        <charset val="1"/>
      </rPr>
      <t xml:space="preserve">11</t>
    </r>
    <r>
      <rPr>
        <sz val="9"/>
        <rFont val="WenQuanYi Zen Hei"/>
        <family val="2"/>
      </rPr>
      <t xml:space="preserve">条</t>
    </r>
  </si>
  <si>
    <r>
      <rPr>
        <sz val="9"/>
        <rFont val="WenQuanYi Zen Hei"/>
        <family val="2"/>
      </rPr>
      <t xml:space="preserve">第</t>
    </r>
    <r>
      <rPr>
        <sz val="9"/>
        <rFont val="ＭＳ Ｐ明朝"/>
        <family val="0"/>
        <charset val="1"/>
      </rPr>
      <t xml:space="preserve">12</t>
    </r>
    <r>
      <rPr>
        <sz val="9"/>
        <rFont val="WenQuanYi Zen Hei"/>
        <family val="2"/>
      </rPr>
      <t xml:space="preserve">条</t>
    </r>
  </si>
  <si>
    <r>
      <rPr>
        <sz val="9"/>
        <rFont val="WenQuanYi Zen Hei"/>
        <family val="2"/>
      </rPr>
      <t xml:space="preserve">第</t>
    </r>
    <r>
      <rPr>
        <sz val="9"/>
        <rFont val="ＭＳ Ｐ明朝"/>
        <family val="0"/>
        <charset val="1"/>
      </rPr>
      <t xml:space="preserve">13</t>
    </r>
    <r>
      <rPr>
        <sz val="9"/>
        <rFont val="WenQuanYi Zen Hei"/>
        <family val="2"/>
      </rPr>
      <t xml:space="preserve">条</t>
    </r>
  </si>
  <si>
    <r>
      <rPr>
        <sz val="9"/>
        <rFont val="WenQuanYi Zen Hei"/>
        <family val="2"/>
      </rPr>
      <t xml:space="preserve">第</t>
    </r>
    <r>
      <rPr>
        <sz val="9"/>
        <rFont val="ＭＳ Ｐ明朝"/>
        <family val="0"/>
        <charset val="1"/>
      </rPr>
      <t xml:space="preserve">14</t>
    </r>
    <r>
      <rPr>
        <sz val="9"/>
        <rFont val="WenQuanYi Zen Hei"/>
        <family val="2"/>
      </rPr>
      <t xml:space="preserve">条</t>
    </r>
  </si>
  <si>
    <r>
      <rPr>
        <sz val="9"/>
        <rFont val="WenQuanYi Zen Hei"/>
        <family val="2"/>
      </rPr>
      <t xml:space="preserve">第</t>
    </r>
    <r>
      <rPr>
        <sz val="9"/>
        <rFont val="ＭＳ Ｐ明朝"/>
        <family val="0"/>
        <charset val="1"/>
      </rPr>
      <t xml:space="preserve">15</t>
    </r>
    <r>
      <rPr>
        <sz val="9"/>
        <rFont val="WenQuanYi Zen Hei"/>
        <family val="2"/>
      </rPr>
      <t xml:space="preserve">条</t>
    </r>
  </si>
  <si>
    <r>
      <rPr>
        <sz val="9"/>
        <rFont val="WenQuanYi Zen Hei"/>
        <family val="2"/>
      </rPr>
      <t xml:space="preserve">第</t>
    </r>
    <r>
      <rPr>
        <sz val="9"/>
        <rFont val="ＭＳ Ｐ明朝"/>
        <family val="0"/>
        <charset val="1"/>
      </rPr>
      <t xml:space="preserve">16</t>
    </r>
    <r>
      <rPr>
        <sz val="9"/>
        <rFont val="WenQuanYi Zen Hei"/>
        <family val="2"/>
      </rPr>
      <t xml:space="preserve">条</t>
    </r>
  </si>
  <si>
    <r>
      <rPr>
        <sz val="9"/>
        <rFont val="WenQuanYi Zen Hei"/>
        <family val="2"/>
      </rPr>
      <t xml:space="preserve">第</t>
    </r>
    <r>
      <rPr>
        <sz val="9"/>
        <rFont val="ＭＳ Ｐ明朝"/>
        <family val="0"/>
        <charset val="1"/>
      </rPr>
      <t xml:space="preserve">17</t>
    </r>
    <r>
      <rPr>
        <sz val="9"/>
        <rFont val="WenQuanYi Zen Hei"/>
        <family val="2"/>
      </rPr>
      <t xml:space="preserve">条</t>
    </r>
  </si>
  <si>
    <r>
      <rPr>
        <sz val="9"/>
        <rFont val="WenQuanYi Zen Hei"/>
        <family val="2"/>
      </rPr>
      <t xml:space="preserve">第</t>
    </r>
    <r>
      <rPr>
        <sz val="9"/>
        <rFont val="ＭＳ Ｐ明朝"/>
        <family val="0"/>
        <charset val="1"/>
      </rPr>
      <t xml:space="preserve">19</t>
    </r>
    <r>
      <rPr>
        <sz val="9"/>
        <rFont val="WenQuanYi Zen Hei"/>
        <family val="2"/>
      </rPr>
      <t xml:space="preserve">条</t>
    </r>
  </si>
  <si>
    <r>
      <rPr>
        <sz val="9"/>
        <rFont val="WenQuanYi Zen Hei"/>
        <family val="2"/>
      </rPr>
      <t xml:space="preserve">第</t>
    </r>
    <r>
      <rPr>
        <sz val="9"/>
        <rFont val="ＭＳ Ｐ明朝"/>
        <family val="0"/>
        <charset val="1"/>
      </rPr>
      <t xml:space="preserve">20</t>
    </r>
    <r>
      <rPr>
        <sz val="9"/>
        <rFont val="WenQuanYi Zen Hei"/>
        <family val="2"/>
      </rPr>
      <t xml:space="preserve">条</t>
    </r>
  </si>
  <si>
    <t xml:space="preserve">合計</t>
  </si>
  <si>
    <r>
      <rPr>
        <sz val="9"/>
        <rFont val="WenQuanYi Zen Hei"/>
        <family val="2"/>
      </rPr>
      <t xml:space="preserve">※ 合計行の「実施日数」は</t>
    </r>
    <r>
      <rPr>
        <sz val="9"/>
        <rFont val="ＭＳ Ｐ明朝"/>
        <family val="0"/>
        <charset val="1"/>
      </rPr>
      <t xml:space="preserve">9</t>
    </r>
    <r>
      <rPr>
        <sz val="9"/>
        <rFont val="WenQuanYi Zen Hei"/>
        <family val="2"/>
      </rPr>
      <t xml:space="preserve">月の業務実施日数（履行日数）。「－」は当月該当業務なし。</t>
    </r>
  </si>
  <si>
    <t xml:space="preserve">条文マスタ（現場技術業務委託共通仕様書 条文一覧）</t>
  </si>
  <si>
    <r>
      <rPr>
        <sz val="9"/>
        <rFont val="WenQuanYi Zen Hei"/>
        <family val="2"/>
      </rPr>
      <t xml:space="preserve">出典：現場技術業務委託共通仕様書（京都府、令和元年</t>
    </r>
    <r>
      <rPr>
        <sz val="9"/>
        <rFont val="ＭＳ Ｐ明朝"/>
        <family val="0"/>
        <charset val="1"/>
      </rPr>
      <t xml:space="preserve">8</t>
    </r>
    <r>
      <rPr>
        <sz val="9"/>
        <rFont val="WenQuanYi Zen Hei"/>
        <family val="2"/>
      </rPr>
      <t xml:space="preserve">月</t>
    </r>
    <r>
      <rPr>
        <sz val="9"/>
        <rFont val="ＭＳ Ｐ明朝"/>
        <family val="0"/>
        <charset val="1"/>
      </rPr>
      <t xml:space="preserve">20</t>
    </r>
    <r>
      <rPr>
        <sz val="9"/>
        <rFont val="WenQuanYi Zen Hei"/>
        <family val="2"/>
      </rPr>
      <t xml:space="preserve">日 元指第</t>
    </r>
    <r>
      <rPr>
        <sz val="9"/>
        <rFont val="ＭＳ Ｐ明朝"/>
        <family val="0"/>
        <charset val="1"/>
      </rPr>
      <t xml:space="preserve">486</t>
    </r>
    <r>
      <rPr>
        <sz val="9"/>
        <rFont val="WenQuanYi Zen Hei"/>
        <family val="2"/>
      </rPr>
      <t xml:space="preserve">号 最終改正）別添</t>
    </r>
    <r>
      <rPr>
        <sz val="9"/>
        <rFont val="ＭＳ Ｐ明朝"/>
        <family val="0"/>
        <charset val="1"/>
      </rPr>
      <t xml:space="preserve">2 </t>
    </r>
    <r>
      <rPr>
        <sz val="9"/>
        <rFont val="WenQuanYi Zen Hei"/>
        <family val="2"/>
      </rPr>
      <t xml:space="preserve">及び 現場技術業務 特記仕様書。条文要旨は原文を要約したもの。</t>
    </r>
  </si>
  <si>
    <t xml:space="preserve">条文要旨</t>
  </si>
  <si>
    <r>
      <rPr>
        <sz val="10"/>
        <rFont val="WenQuanYi Zen Hei"/>
        <family val="2"/>
      </rPr>
      <t xml:space="preserve">第</t>
    </r>
    <r>
      <rPr>
        <sz val="10"/>
        <rFont val="ＭＳ Ｐ明朝"/>
        <family val="0"/>
        <charset val="1"/>
      </rPr>
      <t xml:space="preserve">3</t>
    </r>
    <r>
      <rPr>
        <sz val="10"/>
        <rFont val="WenQuanYi Zen Hei"/>
        <family val="2"/>
      </rPr>
      <t xml:space="preserve">条第</t>
    </r>
    <r>
      <rPr>
        <sz val="10"/>
        <rFont val="ＭＳ Ｐ明朝"/>
        <family val="0"/>
        <charset val="1"/>
      </rPr>
      <t xml:space="preserve">3</t>
    </r>
    <r>
      <rPr>
        <sz val="10"/>
        <rFont val="WenQuanYi Zen Hei"/>
        <family val="2"/>
      </rPr>
      <t xml:space="preserve">項</t>
    </r>
    <r>
      <rPr>
        <sz val="10"/>
        <rFont val="ＭＳ Ｐ明朝"/>
        <family val="0"/>
        <charset val="1"/>
      </rPr>
      <t xml:space="preserve">(1)</t>
    </r>
  </si>
  <si>
    <r>
      <rPr>
        <sz val="10"/>
        <rFont val="WenQuanYi Zen Hei"/>
        <family val="2"/>
      </rPr>
      <t xml:space="preserve">第</t>
    </r>
    <r>
      <rPr>
        <sz val="10"/>
        <rFont val="ＭＳ Ｐ明朝"/>
        <family val="0"/>
        <charset val="1"/>
      </rPr>
      <t xml:space="preserve">1</t>
    </r>
    <r>
      <rPr>
        <sz val="10"/>
        <rFont val="WenQuanYi Zen Hei"/>
        <family val="2"/>
      </rPr>
      <t xml:space="preserve">章 総則</t>
    </r>
  </si>
  <si>
    <t xml:space="preserve">管理技術者等（監督に関する業務の厳正な実施）</t>
  </si>
  <si>
    <t xml:space="preserve">必要な監督に関する業務を厳正に実施すること。</t>
  </si>
  <si>
    <r>
      <rPr>
        <sz val="10"/>
        <rFont val="WenQuanYi Zen Hei"/>
        <family val="2"/>
      </rPr>
      <t xml:space="preserve">第</t>
    </r>
    <r>
      <rPr>
        <sz val="10"/>
        <rFont val="ＭＳ Ｐ明朝"/>
        <family val="0"/>
        <charset val="1"/>
      </rPr>
      <t xml:space="preserve">3</t>
    </r>
    <r>
      <rPr>
        <sz val="10"/>
        <rFont val="WenQuanYi Zen Hei"/>
        <family val="2"/>
      </rPr>
      <t xml:space="preserve">条第</t>
    </r>
    <r>
      <rPr>
        <sz val="10"/>
        <rFont val="ＭＳ Ｐ明朝"/>
        <family val="0"/>
        <charset val="1"/>
      </rPr>
      <t xml:space="preserve">3</t>
    </r>
    <r>
      <rPr>
        <sz val="10"/>
        <rFont val="WenQuanYi Zen Hei"/>
        <family val="2"/>
      </rPr>
      <t xml:space="preserve">項</t>
    </r>
    <r>
      <rPr>
        <sz val="10"/>
        <rFont val="ＭＳ Ｐ明朝"/>
        <family val="0"/>
        <charset val="1"/>
      </rPr>
      <t xml:space="preserve">(4)</t>
    </r>
  </si>
  <si>
    <t xml:space="preserve">管理技術者等（工事請負者等への連絡・通知）</t>
  </si>
  <si>
    <t xml:space="preserve">工事請負者又は外部への連絡若しくは通知を行う場合には、その内容を相手に正確に伝えること。</t>
  </si>
  <si>
    <r>
      <rPr>
        <sz val="10"/>
        <rFont val="WenQuanYi Zen Hei"/>
        <family val="2"/>
      </rPr>
      <t xml:space="preserve">第</t>
    </r>
    <r>
      <rPr>
        <sz val="10"/>
        <rFont val="ＭＳ Ｐ明朝"/>
        <family val="0"/>
        <charset val="1"/>
      </rPr>
      <t xml:space="preserve">3</t>
    </r>
    <r>
      <rPr>
        <sz val="10"/>
        <rFont val="WenQuanYi Zen Hei"/>
        <family val="2"/>
      </rPr>
      <t xml:space="preserve">条第</t>
    </r>
    <r>
      <rPr>
        <sz val="10"/>
        <rFont val="ＭＳ Ｐ明朝"/>
        <family val="0"/>
        <charset val="1"/>
      </rPr>
      <t xml:space="preserve">3</t>
    </r>
    <r>
      <rPr>
        <sz val="10"/>
        <rFont val="WenQuanYi Zen Hei"/>
        <family val="2"/>
      </rPr>
      <t xml:space="preserve">項</t>
    </r>
    <r>
      <rPr>
        <sz val="10"/>
        <rFont val="ＭＳ Ｐ明朝"/>
        <family val="0"/>
        <charset val="1"/>
      </rPr>
      <t xml:space="preserve">(5)</t>
    </r>
  </si>
  <si>
    <t xml:space="preserve">管理技術者等（設計図書の理解・現場状況の精通）</t>
  </si>
  <si>
    <t xml:space="preserve">請負工事の契約書及び設計図書等の内容を十分理解し、更に工事現場の状況についても精通しておくこと。</t>
  </si>
  <si>
    <r>
      <rPr>
        <sz val="10"/>
        <rFont val="WenQuanYi Zen Hei"/>
        <family val="2"/>
      </rPr>
      <t xml:space="preserve">第</t>
    </r>
    <r>
      <rPr>
        <sz val="10"/>
        <rFont val="ＭＳ Ｐ明朝"/>
        <family val="0"/>
        <charset val="1"/>
      </rPr>
      <t xml:space="preserve">3</t>
    </r>
    <r>
      <rPr>
        <sz val="10"/>
        <rFont val="WenQuanYi Zen Hei"/>
        <family val="2"/>
      </rPr>
      <t xml:space="preserve">条第</t>
    </r>
    <r>
      <rPr>
        <sz val="10"/>
        <rFont val="ＭＳ Ｐ明朝"/>
        <family val="0"/>
        <charset val="1"/>
      </rPr>
      <t xml:space="preserve">3</t>
    </r>
    <r>
      <rPr>
        <sz val="10"/>
        <rFont val="WenQuanYi Zen Hei"/>
        <family val="2"/>
      </rPr>
      <t xml:space="preserve">項</t>
    </r>
    <r>
      <rPr>
        <sz val="10"/>
        <rFont val="ＭＳ Ｐ明朝"/>
        <family val="0"/>
        <charset val="1"/>
      </rPr>
      <t xml:space="preserve">(6)</t>
    </r>
  </si>
  <si>
    <t xml:space="preserve">管理技術者等（図書の整理）</t>
  </si>
  <si>
    <t xml:space="preserve">業務の実施にあたっては、業務に関する図書を適切に整理しておくこと。</t>
  </si>
  <si>
    <r>
      <rPr>
        <sz val="10"/>
        <rFont val="WenQuanYi Zen Hei"/>
        <family val="2"/>
      </rPr>
      <t xml:space="preserve">第</t>
    </r>
    <r>
      <rPr>
        <sz val="10"/>
        <rFont val="ＭＳ Ｐ明朝"/>
        <family val="0"/>
        <charset val="1"/>
      </rPr>
      <t xml:space="preserve">3</t>
    </r>
    <r>
      <rPr>
        <sz val="10"/>
        <rFont val="WenQuanYi Zen Hei"/>
        <family val="2"/>
      </rPr>
      <t xml:space="preserve">条第</t>
    </r>
    <r>
      <rPr>
        <sz val="10"/>
        <rFont val="ＭＳ Ｐ明朝"/>
        <family val="0"/>
        <charset val="1"/>
      </rPr>
      <t xml:space="preserve">4</t>
    </r>
    <r>
      <rPr>
        <sz val="10"/>
        <rFont val="WenQuanYi Zen Hei"/>
        <family val="2"/>
      </rPr>
      <t xml:space="preserve">項</t>
    </r>
  </si>
  <si>
    <t xml:space="preserve">管理技術者等（監督職員との打合せ・協議）</t>
  </si>
  <si>
    <r>
      <rPr>
        <sz val="10"/>
        <rFont val="WenQuanYi Zen Hei"/>
        <family val="2"/>
      </rPr>
      <t xml:space="preserve">管理技術者は、特記仕様書に定めるところにより監督職員と打合せ・協議を行い、その結果について相互に確認する（特記仕様書：着手時及び最終時の計</t>
    </r>
    <r>
      <rPr>
        <sz val="10"/>
        <rFont val="ＭＳ Ｐ明朝"/>
        <family val="0"/>
        <charset val="1"/>
      </rPr>
      <t xml:space="preserve">2</t>
    </r>
    <r>
      <rPr>
        <sz val="10"/>
        <rFont val="WenQuanYi Zen Hei"/>
        <family val="2"/>
      </rPr>
      <t xml:space="preserve">回）。</t>
    </r>
  </si>
  <si>
    <r>
      <rPr>
        <sz val="10"/>
        <rFont val="WenQuanYi Zen Hei"/>
        <family val="2"/>
      </rPr>
      <t xml:space="preserve">第</t>
    </r>
    <r>
      <rPr>
        <sz val="10"/>
        <rFont val="ＭＳ Ｐ明朝"/>
        <family val="0"/>
        <charset val="1"/>
      </rPr>
      <t xml:space="preserve">5</t>
    </r>
    <r>
      <rPr>
        <sz val="10"/>
        <rFont val="WenQuanYi Zen Hei"/>
        <family val="2"/>
      </rPr>
      <t xml:space="preserve">条</t>
    </r>
  </si>
  <si>
    <t xml:space="preserve">業務処理予定表及び結果報告書</t>
  </si>
  <si>
    <t xml:space="preserve">業務処理予定表及び業務処理結果報告書（実施した業務の内容、その他必要事項）を作成し、監督職員に提出する。</t>
  </si>
  <si>
    <r>
      <rPr>
        <sz val="10"/>
        <rFont val="WenQuanYi Zen Hei"/>
        <family val="2"/>
      </rPr>
      <t xml:space="preserve">第</t>
    </r>
    <r>
      <rPr>
        <sz val="10"/>
        <rFont val="ＭＳ Ｐ明朝"/>
        <family val="0"/>
        <charset val="1"/>
      </rPr>
      <t xml:space="preserve">6</t>
    </r>
    <r>
      <rPr>
        <sz val="10"/>
        <rFont val="WenQuanYi Zen Hei"/>
        <family val="2"/>
      </rPr>
      <t xml:space="preserve">条</t>
    </r>
  </si>
  <si>
    <t xml:space="preserve">業務完了時の提出書類</t>
  </si>
  <si>
    <t xml:space="preserve">業務完了時に、業務処理結果報告書を一括整理して提出する。</t>
  </si>
  <si>
    <r>
      <rPr>
        <sz val="10"/>
        <rFont val="WenQuanYi Zen Hei"/>
        <family val="2"/>
      </rPr>
      <t xml:space="preserve">第</t>
    </r>
    <r>
      <rPr>
        <sz val="10"/>
        <rFont val="ＭＳ Ｐ明朝"/>
        <family val="0"/>
        <charset val="1"/>
      </rPr>
      <t xml:space="preserve">7</t>
    </r>
    <r>
      <rPr>
        <sz val="10"/>
        <rFont val="WenQuanYi Zen Hei"/>
        <family val="2"/>
      </rPr>
      <t xml:space="preserve">条</t>
    </r>
  </si>
  <si>
    <r>
      <rPr>
        <sz val="10"/>
        <rFont val="WenQuanYi Zen Hei"/>
        <family val="2"/>
      </rPr>
      <t xml:space="preserve">第</t>
    </r>
    <r>
      <rPr>
        <sz val="10"/>
        <rFont val="ＭＳ Ｐ明朝"/>
        <family val="0"/>
        <charset val="1"/>
      </rPr>
      <t xml:space="preserve">2</t>
    </r>
    <r>
      <rPr>
        <sz val="10"/>
        <rFont val="WenQuanYi Zen Hei"/>
        <family val="2"/>
      </rPr>
      <t xml:space="preserve">章 監督に関する現場技術業務</t>
    </r>
  </si>
  <si>
    <t xml:space="preserve">書類の確認</t>
  </si>
  <si>
    <t xml:space="preserve">工事請負者から提出された書類は、これを確認し監督職員に報告しなければならない。</t>
  </si>
  <si>
    <r>
      <rPr>
        <sz val="10"/>
        <rFont val="WenQuanYi Zen Hei"/>
        <family val="2"/>
      </rPr>
      <t xml:space="preserve">第</t>
    </r>
    <r>
      <rPr>
        <sz val="10"/>
        <rFont val="ＭＳ Ｐ明朝"/>
        <family val="0"/>
        <charset val="1"/>
      </rPr>
      <t xml:space="preserve">8</t>
    </r>
    <r>
      <rPr>
        <sz val="10"/>
        <rFont val="WenQuanYi Zen Hei"/>
        <family val="2"/>
      </rPr>
      <t xml:space="preserve">条</t>
    </r>
  </si>
  <si>
    <t xml:space="preserve">立会</t>
  </si>
  <si>
    <t xml:space="preserve">設計図書に基づき立会いを行った場合は、その結果を書面で監督職員に報告する。</t>
  </si>
  <si>
    <r>
      <rPr>
        <sz val="10"/>
        <rFont val="WenQuanYi Zen Hei"/>
        <family val="2"/>
      </rPr>
      <t xml:space="preserve">第</t>
    </r>
    <r>
      <rPr>
        <sz val="10"/>
        <rFont val="ＭＳ Ｐ明朝"/>
        <family val="0"/>
        <charset val="1"/>
      </rPr>
      <t xml:space="preserve">9</t>
    </r>
    <r>
      <rPr>
        <sz val="10"/>
        <rFont val="WenQuanYi Zen Hei"/>
        <family val="2"/>
      </rPr>
      <t xml:space="preserve">条</t>
    </r>
  </si>
  <si>
    <t xml:space="preserve">検測</t>
  </si>
  <si>
    <t xml:space="preserve">請負工事の施工が設計図書に示す所定の出来形及び品質を確保するため現地で検測を行い、その成果を監督職員に提出する。</t>
  </si>
  <si>
    <r>
      <rPr>
        <sz val="10"/>
        <rFont val="WenQuanYi Zen Hei"/>
        <family val="2"/>
      </rPr>
      <t xml:space="preserve">第</t>
    </r>
    <r>
      <rPr>
        <sz val="10"/>
        <rFont val="ＭＳ Ｐ明朝"/>
        <family val="0"/>
        <charset val="1"/>
      </rPr>
      <t xml:space="preserve">10</t>
    </r>
    <r>
      <rPr>
        <sz val="10"/>
        <rFont val="WenQuanYi Zen Hei"/>
        <family val="2"/>
      </rPr>
      <t xml:space="preserve">条</t>
    </r>
  </si>
  <si>
    <t xml:space="preserve">材料検査</t>
  </si>
  <si>
    <t xml:space="preserve">材料検査を実施したときは、検査年月日・品名・寸法等・検査数量・検査結果及び合格数量等を付記して監督職員に提出する。</t>
  </si>
  <si>
    <r>
      <rPr>
        <sz val="10"/>
        <rFont val="WenQuanYi Zen Hei"/>
        <family val="2"/>
      </rPr>
      <t xml:space="preserve">第</t>
    </r>
    <r>
      <rPr>
        <sz val="10"/>
        <rFont val="ＭＳ Ｐ明朝"/>
        <family val="0"/>
        <charset val="1"/>
      </rPr>
      <t xml:space="preserve">11</t>
    </r>
    <r>
      <rPr>
        <sz val="10"/>
        <rFont val="WenQuanYi Zen Hei"/>
        <family val="2"/>
      </rPr>
      <t xml:space="preserve">条</t>
    </r>
  </si>
  <si>
    <t xml:space="preserve">工程管理</t>
  </si>
  <si>
    <t xml:space="preserve">請負工事の進捗状況を把握し、工事が遅延するおそれがあれば遅滞なく書面で監督職員に報告する。</t>
  </si>
  <si>
    <r>
      <rPr>
        <sz val="10"/>
        <rFont val="WenQuanYi Zen Hei"/>
        <family val="2"/>
      </rPr>
      <t xml:space="preserve">第</t>
    </r>
    <r>
      <rPr>
        <sz val="10"/>
        <rFont val="ＭＳ Ｐ明朝"/>
        <family val="0"/>
        <charset val="1"/>
      </rPr>
      <t xml:space="preserve">12</t>
    </r>
    <r>
      <rPr>
        <sz val="10"/>
        <rFont val="WenQuanYi Zen Hei"/>
        <family val="2"/>
      </rPr>
      <t xml:space="preserve">条</t>
    </r>
  </si>
  <si>
    <t xml:space="preserve">品質管理</t>
  </si>
  <si>
    <t xml:space="preserve">工事受注者が仕様書に定められた品質管理試験を忠実に実行しているか確認し、その結果を書面で報告する。</t>
  </si>
  <si>
    <r>
      <rPr>
        <sz val="10"/>
        <rFont val="WenQuanYi Zen Hei"/>
        <family val="2"/>
      </rPr>
      <t xml:space="preserve">第</t>
    </r>
    <r>
      <rPr>
        <sz val="10"/>
        <rFont val="ＭＳ Ｐ明朝"/>
        <family val="0"/>
        <charset val="1"/>
      </rPr>
      <t xml:space="preserve">13</t>
    </r>
    <r>
      <rPr>
        <sz val="10"/>
        <rFont val="WenQuanYi Zen Hei"/>
        <family val="2"/>
      </rPr>
      <t xml:space="preserve">条</t>
    </r>
  </si>
  <si>
    <t xml:space="preserve">図面と現地の不一致等</t>
  </si>
  <si>
    <t xml:space="preserve">設計図書と工事現場の状態の不一致等の通知を受けたときは、遅滞なく書面で監督職員に報告する。</t>
  </si>
  <si>
    <r>
      <rPr>
        <sz val="10"/>
        <rFont val="WenQuanYi Zen Hei"/>
        <family val="2"/>
      </rPr>
      <t xml:space="preserve">第</t>
    </r>
    <r>
      <rPr>
        <sz val="10"/>
        <rFont val="ＭＳ Ｐ明朝"/>
        <family val="0"/>
        <charset val="1"/>
      </rPr>
      <t xml:space="preserve">14</t>
    </r>
    <r>
      <rPr>
        <sz val="10"/>
        <rFont val="WenQuanYi Zen Hei"/>
        <family val="2"/>
      </rPr>
      <t xml:space="preserve">条</t>
    </r>
  </si>
  <si>
    <t xml:space="preserve">検査の立会</t>
  </si>
  <si>
    <t xml:space="preserve">請負工事に係る工事検査及び監督職員が行う検査に立会い、求められる説明に応じる。</t>
  </si>
  <si>
    <r>
      <rPr>
        <sz val="10"/>
        <rFont val="WenQuanYi Zen Hei"/>
        <family val="2"/>
      </rPr>
      <t xml:space="preserve">第</t>
    </r>
    <r>
      <rPr>
        <sz val="10"/>
        <rFont val="ＭＳ Ｐ明朝"/>
        <family val="0"/>
        <charset val="1"/>
      </rPr>
      <t xml:space="preserve">15</t>
    </r>
    <r>
      <rPr>
        <sz val="10"/>
        <rFont val="WenQuanYi Zen Hei"/>
        <family val="2"/>
      </rPr>
      <t xml:space="preserve">条</t>
    </r>
  </si>
  <si>
    <t xml:space="preserve">設計変更工事検査等に関する図書</t>
  </si>
  <si>
    <t xml:space="preserve">監督職員と協議のうえ、設計変更、工事完成検査若しくは既済部分検査等に必要な測量、測定又は図書等の資料作成を行う。</t>
  </si>
  <si>
    <r>
      <rPr>
        <sz val="10"/>
        <rFont val="WenQuanYi Zen Hei"/>
        <family val="2"/>
      </rPr>
      <t xml:space="preserve">第</t>
    </r>
    <r>
      <rPr>
        <sz val="10"/>
        <rFont val="ＭＳ Ｐ明朝"/>
        <family val="0"/>
        <charset val="1"/>
      </rPr>
      <t xml:space="preserve">16</t>
    </r>
    <r>
      <rPr>
        <sz val="10"/>
        <rFont val="WenQuanYi Zen Hei"/>
        <family val="2"/>
      </rPr>
      <t xml:space="preserve">条</t>
    </r>
  </si>
  <si>
    <t xml:space="preserve">対外接渉に関する資料</t>
  </si>
  <si>
    <t xml:space="preserve">監督職員と協議の上、地元若しくは関係機関等との接渉に必要な測量、調査又は資料の作成を行う。</t>
  </si>
  <si>
    <r>
      <rPr>
        <sz val="10"/>
        <rFont val="WenQuanYi Zen Hei"/>
        <family val="2"/>
      </rPr>
      <t xml:space="preserve">第</t>
    </r>
    <r>
      <rPr>
        <sz val="10"/>
        <rFont val="ＭＳ Ｐ明朝"/>
        <family val="0"/>
        <charset val="1"/>
      </rPr>
      <t xml:space="preserve">17</t>
    </r>
    <r>
      <rPr>
        <sz val="10"/>
        <rFont val="WenQuanYi Zen Hei"/>
        <family val="2"/>
      </rPr>
      <t xml:space="preserve">条</t>
    </r>
  </si>
  <si>
    <t xml:space="preserve">書面での報告</t>
  </si>
  <si>
    <r>
      <rPr>
        <sz val="10"/>
        <rFont val="WenQuanYi Zen Hei"/>
        <family val="2"/>
      </rPr>
      <t xml:space="preserve">第</t>
    </r>
    <r>
      <rPr>
        <sz val="10"/>
        <rFont val="ＭＳ Ｐ明朝"/>
        <family val="0"/>
        <charset val="1"/>
      </rPr>
      <t xml:space="preserve">2</t>
    </r>
    <r>
      <rPr>
        <sz val="10"/>
        <rFont val="WenQuanYi Zen Hei"/>
        <family val="2"/>
      </rPr>
      <t xml:space="preserve">章の各条にいう書面での監督職員に対する報告は、業務処理結果報告書による。</t>
    </r>
  </si>
  <si>
    <r>
      <rPr>
        <sz val="10"/>
        <rFont val="WenQuanYi Zen Hei"/>
        <family val="2"/>
      </rPr>
      <t xml:space="preserve">第</t>
    </r>
    <r>
      <rPr>
        <sz val="10"/>
        <rFont val="ＭＳ Ｐ明朝"/>
        <family val="0"/>
        <charset val="1"/>
      </rPr>
      <t xml:space="preserve">19</t>
    </r>
    <r>
      <rPr>
        <sz val="10"/>
        <rFont val="WenQuanYi Zen Hei"/>
        <family val="2"/>
      </rPr>
      <t xml:space="preserve">条</t>
    </r>
  </si>
  <si>
    <r>
      <rPr>
        <sz val="10"/>
        <rFont val="WenQuanYi Zen Hei"/>
        <family val="2"/>
      </rPr>
      <t xml:space="preserve">第</t>
    </r>
    <r>
      <rPr>
        <sz val="10"/>
        <rFont val="ＭＳ Ｐ明朝"/>
        <family val="0"/>
        <charset val="1"/>
      </rPr>
      <t xml:space="preserve">3</t>
    </r>
    <r>
      <rPr>
        <sz val="10"/>
        <rFont val="WenQuanYi Zen Hei"/>
        <family val="2"/>
      </rPr>
      <t xml:space="preserve">章 設計に関する現場技術業務</t>
    </r>
  </si>
  <si>
    <t xml:space="preserve">設計に必要な調査</t>
  </si>
  <si>
    <t xml:space="preserve">設計に必要な現場条件等の調査を、事前に監督職員と協議の上行い、調査結果は書面で提出する。</t>
  </si>
  <si>
    <r>
      <rPr>
        <sz val="10"/>
        <rFont val="WenQuanYi Zen Hei"/>
        <family val="2"/>
      </rPr>
      <t xml:space="preserve">第</t>
    </r>
    <r>
      <rPr>
        <sz val="10"/>
        <rFont val="ＭＳ Ｐ明朝"/>
        <family val="0"/>
        <charset val="1"/>
      </rPr>
      <t xml:space="preserve">20</t>
    </r>
    <r>
      <rPr>
        <sz val="10"/>
        <rFont val="WenQuanYi Zen Hei"/>
        <family val="2"/>
      </rPr>
      <t xml:space="preserve">条</t>
    </r>
  </si>
  <si>
    <t xml:space="preserve">設計に必要な資料</t>
  </si>
  <si>
    <t xml:space="preserve">設計に必要な図面、数量取りまとめ、各種データの作成等を、事前に監督職員と協議の上行い、結果を書面で提出する。</t>
  </si>
</sst>
</file>

<file path=xl/styles.xml><?xml version="1.0" encoding="utf-8"?>
<styleSheet xmlns="http://schemas.openxmlformats.org/spreadsheetml/2006/main">
  <numFmts count="7">
    <numFmt numFmtId="164" formatCode="General"/>
    <numFmt numFmtId="165" formatCode="m\月d\日"/>
    <numFmt numFmtId="166" formatCode="\№0"/>
    <numFmt numFmtId="167" formatCode="m/d"/>
    <numFmt numFmtId="168" formatCode="0;\-0;&quot;&quot;"/>
    <numFmt numFmtId="169" formatCode="0;\-0;\－"/>
    <numFmt numFmtId="170" formatCode="General"/>
  </numFmts>
  <fonts count="23">
    <font>
      <sz val="11"/>
      <color theme="1"/>
      <name val="Calibri"/>
      <family val="2"/>
      <charset val="1"/>
    </font>
    <font>
      <sz val="10"/>
      <name val="Arial"/>
      <family val="0"/>
    </font>
    <font>
      <sz val="10"/>
      <name val="Arial"/>
      <family val="0"/>
    </font>
    <font>
      <sz val="10"/>
      <name val="Arial"/>
      <family val="0"/>
    </font>
    <font>
      <b val="true"/>
      <sz val="16"/>
      <name val="WenQuanYi Zen Hei"/>
      <family val="2"/>
    </font>
    <font>
      <b val="true"/>
      <sz val="16"/>
      <name val="ＭＳ Ｐ明朝"/>
      <family val="0"/>
      <charset val="1"/>
    </font>
    <font>
      <b val="true"/>
      <sz val="10"/>
      <name val="WenQuanYi Zen Hei"/>
      <family val="2"/>
    </font>
    <font>
      <sz val="10"/>
      <name val="WenQuanYi Zen Hei"/>
      <family val="2"/>
    </font>
    <font>
      <sz val="10"/>
      <name val="ＭＳ Ｐ明朝"/>
      <family val="0"/>
      <charset val="1"/>
    </font>
    <font>
      <b val="true"/>
      <sz val="10"/>
      <name val="ＭＳ Ｐ明朝"/>
      <family val="0"/>
      <charset val="1"/>
    </font>
    <font>
      <b val="true"/>
      <sz val="9"/>
      <name val="WenQuanYi Zen Hei"/>
      <family val="2"/>
    </font>
    <font>
      <sz val="10"/>
      <color rgb="FF0000FF"/>
      <name val="WenQuanYi Zen Hei"/>
      <family val="2"/>
    </font>
    <font>
      <sz val="10"/>
      <color rgb="FF0000FF"/>
      <name val="ＭＳ Ｐ明朝"/>
      <family val="0"/>
      <charset val="1"/>
    </font>
    <font>
      <sz val="9"/>
      <color rgb="FF000000"/>
      <name val="ＭＳ Ｐ明朝"/>
      <family val="0"/>
      <charset val="1"/>
    </font>
    <font>
      <sz val="10"/>
      <color rgb="FF000000"/>
      <name val="ＭＳ Ｐ明朝"/>
      <family val="0"/>
      <charset val="1"/>
    </font>
    <font>
      <sz val="10"/>
      <color rgb="FF000000"/>
      <name val="WenQuanYi Zen Hei"/>
      <family val="2"/>
    </font>
    <font>
      <sz val="10"/>
      <color rgb="FF808080"/>
      <name val="ＭＳ Ｐ明朝"/>
      <family val="0"/>
      <charset val="1"/>
    </font>
    <font>
      <sz val="10"/>
      <color rgb="FF808080"/>
      <name val="WenQuanYi Zen Hei"/>
      <family val="2"/>
    </font>
    <font>
      <sz val="9"/>
      <name val="WenQuanYi Zen Hei"/>
      <family val="2"/>
    </font>
    <font>
      <sz val="9"/>
      <name val="ＭＳ Ｐ明朝"/>
      <family val="0"/>
      <charset val="1"/>
    </font>
    <font>
      <b val="true"/>
      <sz val="14"/>
      <name val="WenQuanYi Zen Hei"/>
      <family val="2"/>
    </font>
    <font>
      <b val="true"/>
      <sz val="14"/>
      <name val="ＭＳ Ｐ明朝"/>
      <family val="0"/>
      <charset val="1"/>
    </font>
    <font>
      <b val="true"/>
      <sz val="9"/>
      <name val="ＭＳ Ｐ明朝"/>
      <family val="0"/>
      <charset val="1"/>
    </font>
  </fonts>
  <fills count="5">
    <fill>
      <patternFill patternType="none"/>
    </fill>
    <fill>
      <patternFill patternType="gray125"/>
    </fill>
    <fill>
      <patternFill patternType="solid">
        <fgColor rgb="FFD9E1F2"/>
        <bgColor rgb="FFEDEDED"/>
      </patternFill>
    </fill>
    <fill>
      <patternFill patternType="solid">
        <fgColor rgb="FFEDEDED"/>
        <bgColor rgb="FFF7F7F7"/>
      </patternFill>
    </fill>
    <fill>
      <patternFill patternType="solid">
        <fgColor rgb="FFF7F7F7"/>
        <bgColor rgb="FFEDEDED"/>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9" fillId="3" borderId="1" xfId="0" applyFont="true" applyBorder="true" applyAlignment="true" applyProtection="false">
      <alignment horizontal="right" vertical="center"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5" fontId="14"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general"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6" fontId="14" fillId="0"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4" fontId="17" fillId="4"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7" fontId="22" fillId="2"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general" vertical="center" textRotation="0" wrapText="true" indent="0" shrinkToFit="false"/>
      <protection locked="true" hidden="false"/>
    </xf>
    <xf numFmtId="168" fontId="19" fillId="0" borderId="1" xfId="0" applyFont="true" applyBorder="true" applyAlignment="true" applyProtection="false">
      <alignment horizontal="center" vertical="center" textRotation="0" wrapText="true" indent="0" shrinkToFit="false"/>
      <protection locked="true" hidden="false"/>
    </xf>
    <xf numFmtId="169" fontId="19" fillId="0" borderId="1" xfId="0" applyFont="true" applyBorder="true" applyAlignment="true" applyProtection="false">
      <alignment horizontal="center" vertical="center" textRotation="0" wrapText="tru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70" fontId="22"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7F7F7"/>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DED"/>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5"/>
    <col collapsed="false" customWidth="true" hidden="false" outlineLevel="0" max="4" min="4" style="0" width="8"/>
    <col collapsed="false" customWidth="true" hidden="false" outlineLevel="0" max="5" min="5" style="0" width="4"/>
    <col collapsed="false" customWidth="true" hidden="false" outlineLevel="0" max="6" min="6" style="0" width="8"/>
    <col collapsed="false" customWidth="true" hidden="false" outlineLevel="0" max="7" min="7" style="0" width="34"/>
    <col collapsed="false" customWidth="true" hidden="false" outlineLevel="0" max="8" min="8" style="0" width="48"/>
    <col collapsed="false" customWidth="true" hidden="false" outlineLevel="0" max="9" min="9" style="0" width="18"/>
    <col collapsed="false" customWidth="true" hidden="false" outlineLevel="0" max="10" min="10" style="0" width="13"/>
    <col collapsed="false" customWidth="true" hidden="false" outlineLevel="0" max="11" min="11" style="0" width="8"/>
    <col collapsed="false" customWidth="true" hidden="false" outlineLevel="0" max="12" min="12" style="0" width="14"/>
  </cols>
  <sheetData>
    <row r="1" customFormat="false" ht="20.85" hidden="false" customHeight="false" outlineLevel="0" collapsed="false">
      <c r="A1" s="1" t="s">
        <v>0</v>
      </c>
      <c r="B1" s="1"/>
      <c r="C1" s="1"/>
      <c r="D1" s="1"/>
      <c r="E1" s="1"/>
      <c r="F1" s="1"/>
      <c r="G1" s="1"/>
      <c r="H1" s="1"/>
      <c r="I1" s="1"/>
      <c r="J1" s="1"/>
      <c r="K1" s="1"/>
      <c r="L1" s="1"/>
    </row>
    <row r="3" customFormat="false" ht="15" hidden="false" customHeight="false" outlineLevel="0" collapsed="false">
      <c r="A3" s="2" t="s">
        <v>1</v>
      </c>
      <c r="B3" s="2"/>
      <c r="C3" s="3" t="s">
        <v>2</v>
      </c>
      <c r="D3" s="3"/>
      <c r="E3" s="3"/>
      <c r="F3" s="3"/>
      <c r="G3" s="3"/>
      <c r="H3" s="3"/>
      <c r="I3" s="3"/>
      <c r="J3" s="3"/>
      <c r="K3" s="3"/>
      <c r="L3" s="3"/>
    </row>
    <row r="4" customFormat="false" ht="15" hidden="false" customHeight="false" outlineLevel="0" collapsed="false">
      <c r="A4" s="2" t="s">
        <v>3</v>
      </c>
      <c r="B4" s="2"/>
      <c r="C4" s="3" t="s">
        <v>4</v>
      </c>
      <c r="D4" s="3"/>
      <c r="E4" s="3"/>
      <c r="F4" s="3"/>
      <c r="G4" s="3"/>
      <c r="H4" s="3"/>
      <c r="I4" s="3"/>
      <c r="J4" s="3"/>
      <c r="K4" s="3"/>
      <c r="L4" s="3"/>
    </row>
    <row r="5" customFormat="false" ht="15" hidden="false" customHeight="false" outlineLevel="0" collapsed="false">
      <c r="A5" s="2" t="s">
        <v>5</v>
      </c>
      <c r="B5" s="2"/>
      <c r="C5" s="3" t="s">
        <v>6</v>
      </c>
      <c r="D5" s="3"/>
      <c r="E5" s="3"/>
      <c r="F5" s="3"/>
      <c r="G5" s="3"/>
      <c r="H5" s="3"/>
      <c r="I5" s="3"/>
      <c r="J5" s="3"/>
      <c r="K5" s="3"/>
      <c r="L5" s="3"/>
    </row>
    <row r="6" customFormat="false" ht="15" hidden="false" customHeight="false" outlineLevel="0" collapsed="false">
      <c r="A6" s="2" t="s">
        <v>7</v>
      </c>
      <c r="B6" s="2"/>
      <c r="C6" s="3" t="s">
        <v>8</v>
      </c>
      <c r="D6" s="3"/>
      <c r="E6" s="3"/>
      <c r="F6" s="3"/>
      <c r="G6" s="3"/>
      <c r="H6" s="3"/>
      <c r="I6" s="3"/>
      <c r="J6" s="3"/>
      <c r="K6" s="3"/>
      <c r="L6" s="3"/>
    </row>
    <row r="8" customFormat="false" ht="15" hidden="false" customHeight="false" outlineLevel="0" collapsed="false">
      <c r="A8" s="4" t="s">
        <v>9</v>
      </c>
      <c r="B8" s="4" t="s">
        <v>10</v>
      </c>
      <c r="C8" s="5" t="s">
        <v>11</v>
      </c>
      <c r="D8" s="4" t="s">
        <v>12</v>
      </c>
      <c r="E8" s="4" t="s">
        <v>13</v>
      </c>
      <c r="F8" s="4" t="s">
        <v>14</v>
      </c>
      <c r="G8" s="4" t="s">
        <v>15</v>
      </c>
      <c r="H8" s="4" t="s">
        <v>16</v>
      </c>
      <c r="I8" s="4" t="s">
        <v>17</v>
      </c>
      <c r="J8" s="4" t="s">
        <v>18</v>
      </c>
      <c r="K8" s="4" t="s">
        <v>19</v>
      </c>
      <c r="L8" s="4" t="s">
        <v>20</v>
      </c>
    </row>
    <row r="9" customFormat="false" ht="30" hidden="false" customHeight="true" outlineLevel="0" collapsed="false">
      <c r="A9" s="6" t="s">
        <v>21</v>
      </c>
      <c r="B9" s="7" t="str">
        <f aca="false">INDEX(条文マスタ!$C$5:$C$24,MATCH($A9,条文マスタ!$A$5:$A$24,0))</f>
        <v>管理技術者等（監督に関する業務の厳正な実施）</v>
      </c>
      <c r="C9" s="7"/>
      <c r="D9" s="7"/>
      <c r="E9" s="7"/>
      <c r="F9" s="7"/>
      <c r="G9" s="8" t="str">
        <f aca="false">INDEX(条文マスタ!$D$5:$D$24,MATCH($A9,条文マスタ!$A$5:$A$24,0))</f>
        <v>必要な監督に関する業務を厳正に実施すること。</v>
      </c>
      <c r="H9" s="8"/>
      <c r="I9" s="9" t="str">
        <f aca="false">COUNT($C$10:$C$10)&amp;"件"</f>
        <v>1件</v>
      </c>
      <c r="J9" s="6" t="s">
        <v>22</v>
      </c>
      <c r="K9" s="6" t="str">
        <f aca="false">IF(COUNT($C$10:$C$10)=0,0,SUMPRODUCT(($C$10:$C$10&lt;&gt;"")/COUNTIFS($D$10:$D$10,$D$10:$D$10&amp;"")))&amp;"日"</f>
        <v>1日</v>
      </c>
      <c r="L9" s="10"/>
    </row>
    <row r="10" customFormat="false" ht="15" hidden="false" customHeight="false" outlineLevel="0" collapsed="false">
      <c r="A10" s="11" t="s">
        <v>23</v>
      </c>
      <c r="B10" s="12"/>
      <c r="C10" s="13" t="n">
        <v>1</v>
      </c>
      <c r="D10" s="14" t="n">
        <v>46272</v>
      </c>
      <c r="E10" s="13" t="str">
        <f aca="false">MID("日月火水木金土",WEEKDAY(D10),1)</f>
        <v>月</v>
      </c>
      <c r="F10" s="13" t="s">
        <v>24</v>
      </c>
      <c r="G10" s="15" t="s">
        <v>25</v>
      </c>
      <c r="H10" s="15" t="s">
        <v>26</v>
      </c>
      <c r="I10" s="15"/>
      <c r="J10" s="16" t="s">
        <v>27</v>
      </c>
      <c r="K10" s="17" t="n">
        <v>108</v>
      </c>
      <c r="L10" s="15"/>
    </row>
    <row r="11" customFormat="false" ht="30" hidden="false" customHeight="true" outlineLevel="0" collapsed="false">
      <c r="A11" s="6" t="s">
        <v>28</v>
      </c>
      <c r="B11" s="7" t="str">
        <f aca="false">INDEX(条文マスタ!$C$5:$C$24,MATCH($A11,条文マスタ!$A$5:$A$24,0))</f>
        <v>管理技術者等（工事請負者等への連絡・通知）</v>
      </c>
      <c r="C11" s="7"/>
      <c r="D11" s="7"/>
      <c r="E11" s="7"/>
      <c r="F11" s="7"/>
      <c r="G11" s="8" t="str">
        <f aca="false">INDEX(条文マスタ!$D$5:$D$24,MATCH($A11,条文マスタ!$A$5:$A$24,0))</f>
        <v>工事請負者又は外部への連絡若しくは通知を行う場合には、その内容を相手に正確に伝えること。</v>
      </c>
      <c r="H11" s="8"/>
      <c r="I11" s="9" t="str">
        <f aca="false">COUNT($C$12:$C$13)&amp;"件"</f>
        <v>2件</v>
      </c>
      <c r="J11" s="6" t="s">
        <v>22</v>
      </c>
      <c r="K11" s="6" t="str">
        <f aca="false">IF(COUNT($C$12:$C$13)=0,0,SUMPRODUCT(($C$12:$C$13&lt;&gt;"")/COUNTIFS($D$12:$D$13,$D$12:$D$13&amp;"")))&amp;"日"</f>
        <v>2日</v>
      </c>
      <c r="L11" s="10"/>
    </row>
    <row r="12" customFormat="false" ht="15" hidden="false" customHeight="false" outlineLevel="0" collapsed="false">
      <c r="A12" s="11" t="s">
        <v>29</v>
      </c>
      <c r="B12" s="12"/>
      <c r="C12" s="13" t="n">
        <v>1</v>
      </c>
      <c r="D12" s="14" t="n">
        <v>46279</v>
      </c>
      <c r="E12" s="13" t="str">
        <f aca="false">MID("日月火水木金土",WEEKDAY(D12),1)</f>
        <v>月</v>
      </c>
      <c r="F12" s="13" t="s">
        <v>30</v>
      </c>
      <c r="G12" s="15" t="s">
        <v>31</v>
      </c>
      <c r="H12" s="15" t="s">
        <v>32</v>
      </c>
      <c r="I12" s="15" t="s">
        <v>33</v>
      </c>
      <c r="J12" s="16" t="s">
        <v>34</v>
      </c>
      <c r="K12" s="17" t="n">
        <v>113</v>
      </c>
      <c r="L12" s="15"/>
    </row>
    <row r="13" customFormat="false" ht="26.85" hidden="false" customHeight="false" outlineLevel="0" collapsed="false">
      <c r="A13" s="11" t="s">
        <v>29</v>
      </c>
      <c r="B13" s="12"/>
      <c r="C13" s="13" t="n">
        <v>2</v>
      </c>
      <c r="D13" s="14" t="n">
        <v>46294</v>
      </c>
      <c r="E13" s="13" t="str">
        <f aca="false">MID("日月火水木金土",WEEKDAY(D13),1)</f>
        <v>火</v>
      </c>
      <c r="F13" s="13" t="s">
        <v>35</v>
      </c>
      <c r="G13" s="15" t="s">
        <v>36</v>
      </c>
      <c r="H13" s="15" t="s">
        <v>37</v>
      </c>
      <c r="I13" s="15" t="s">
        <v>38</v>
      </c>
      <c r="J13" s="16" t="s">
        <v>39</v>
      </c>
      <c r="K13" s="17" t="n">
        <v>121</v>
      </c>
      <c r="L13" s="15"/>
    </row>
    <row r="14" customFormat="false" ht="30" hidden="false" customHeight="true" outlineLevel="0" collapsed="false">
      <c r="A14" s="6" t="s">
        <v>40</v>
      </c>
      <c r="B14" s="7" t="str">
        <f aca="false">INDEX(条文マスタ!$C$5:$C$24,MATCH($A14,条文マスタ!$A$5:$A$24,0))</f>
        <v>管理技術者等（設計図書の理解・現場状況の精通）</v>
      </c>
      <c r="C14" s="7"/>
      <c r="D14" s="7"/>
      <c r="E14" s="7"/>
      <c r="F14" s="7"/>
      <c r="G14" s="8" t="str">
        <f aca="false">INDEX(条文マスタ!$D$5:$D$24,MATCH($A14,条文マスタ!$A$5:$A$24,0))</f>
        <v>請負工事の契約書及び設計図書等の内容を十分理解し、更に工事現場の状況についても精通しておくこと。</v>
      </c>
      <c r="H14" s="8"/>
      <c r="I14" s="9" t="str">
        <f aca="false">COUNT($C$15:$C$19)&amp;"件"</f>
        <v>5件</v>
      </c>
      <c r="J14" s="6" t="s">
        <v>22</v>
      </c>
      <c r="K14" s="6" t="str">
        <f aca="false">IF(COUNT($C$15:$C$19)=0,0,SUMPRODUCT(($C$15:$C$19&lt;&gt;"")/COUNTIFS($D$15:$D$19,$D$15:$D$19&amp;"")))&amp;"日"</f>
        <v>4日</v>
      </c>
      <c r="L14" s="10"/>
    </row>
    <row r="15" customFormat="false" ht="15" hidden="false" customHeight="false" outlineLevel="0" collapsed="false">
      <c r="A15" s="11" t="s">
        <v>41</v>
      </c>
      <c r="B15" s="12"/>
      <c r="C15" s="13" t="n">
        <v>1</v>
      </c>
      <c r="D15" s="14" t="n">
        <v>46267</v>
      </c>
      <c r="E15" s="13" t="str">
        <f aca="false">MID("日月火水木金土",WEEKDAY(D15),1)</f>
        <v>水</v>
      </c>
      <c r="F15" s="13" t="s">
        <v>42</v>
      </c>
      <c r="G15" s="15" t="s">
        <v>43</v>
      </c>
      <c r="H15" s="15" t="s">
        <v>44</v>
      </c>
      <c r="I15" s="15"/>
      <c r="J15" s="16" t="s">
        <v>45</v>
      </c>
      <c r="K15" s="17" t="n">
        <v>105</v>
      </c>
      <c r="L15" s="15"/>
    </row>
    <row r="16" customFormat="false" ht="15" hidden="false" customHeight="false" outlineLevel="0" collapsed="false">
      <c r="A16" s="11" t="s">
        <v>41</v>
      </c>
      <c r="B16" s="12"/>
      <c r="C16" s="13" t="n">
        <v>2</v>
      </c>
      <c r="D16" s="14" t="n">
        <v>46275</v>
      </c>
      <c r="E16" s="13" t="str">
        <f aca="false">MID("日月火水木金土",WEEKDAY(D16),1)</f>
        <v>木</v>
      </c>
      <c r="F16" s="13" t="s">
        <v>46</v>
      </c>
      <c r="G16" s="15" t="s">
        <v>31</v>
      </c>
      <c r="H16" s="15" t="s">
        <v>47</v>
      </c>
      <c r="I16" s="15"/>
      <c r="J16" s="16" t="s">
        <v>34</v>
      </c>
      <c r="K16" s="17" t="n">
        <v>111</v>
      </c>
      <c r="L16" s="15"/>
    </row>
    <row r="17" customFormat="false" ht="15" hidden="false" customHeight="false" outlineLevel="0" collapsed="false">
      <c r="A17" s="11" t="s">
        <v>41</v>
      </c>
      <c r="B17" s="12"/>
      <c r="C17" s="13" t="n">
        <v>3</v>
      </c>
      <c r="D17" s="14" t="n">
        <v>46275</v>
      </c>
      <c r="E17" s="13" t="str">
        <f aca="false">MID("日月火水木金土",WEEKDAY(D17),1)</f>
        <v>木</v>
      </c>
      <c r="F17" s="13" t="s">
        <v>48</v>
      </c>
      <c r="G17" s="15" t="s">
        <v>31</v>
      </c>
      <c r="H17" s="15" t="s">
        <v>49</v>
      </c>
      <c r="I17" s="15"/>
      <c r="J17" s="16" t="s">
        <v>34</v>
      </c>
      <c r="K17" s="17" t="n">
        <v>111</v>
      </c>
      <c r="L17" s="15"/>
    </row>
    <row r="18" customFormat="false" ht="26.85" hidden="false" customHeight="false" outlineLevel="0" collapsed="false">
      <c r="A18" s="11" t="s">
        <v>41</v>
      </c>
      <c r="B18" s="12"/>
      <c r="C18" s="13" t="n">
        <v>4</v>
      </c>
      <c r="D18" s="14" t="n">
        <v>46280</v>
      </c>
      <c r="E18" s="13" t="str">
        <f aca="false">MID("日月火水木金土",WEEKDAY(D18),1)</f>
        <v>火</v>
      </c>
      <c r="F18" s="13" t="s">
        <v>50</v>
      </c>
      <c r="G18" s="15" t="s">
        <v>51</v>
      </c>
      <c r="H18" s="15" t="s">
        <v>52</v>
      </c>
      <c r="I18" s="15"/>
      <c r="J18" s="16" t="s">
        <v>34</v>
      </c>
      <c r="K18" s="17" t="n">
        <v>114</v>
      </c>
      <c r="L18" s="15"/>
    </row>
    <row r="19" customFormat="false" ht="15" hidden="false" customHeight="false" outlineLevel="0" collapsed="false">
      <c r="A19" s="11" t="s">
        <v>41</v>
      </c>
      <c r="B19" s="12"/>
      <c r="C19" s="13" t="n">
        <v>5</v>
      </c>
      <c r="D19" s="14" t="n">
        <v>46283</v>
      </c>
      <c r="E19" s="13" t="str">
        <f aca="false">MID("日月火水木金土",WEEKDAY(D19),1)</f>
        <v>金</v>
      </c>
      <c r="F19" s="13" t="s">
        <v>53</v>
      </c>
      <c r="G19" s="15" t="s">
        <v>31</v>
      </c>
      <c r="H19" s="15" t="s">
        <v>54</v>
      </c>
      <c r="I19" s="15" t="s">
        <v>33</v>
      </c>
      <c r="J19" s="16" t="s">
        <v>34</v>
      </c>
      <c r="K19" s="17" t="n">
        <v>117</v>
      </c>
      <c r="L19" s="15"/>
    </row>
    <row r="20" customFormat="false" ht="30" hidden="false" customHeight="true" outlineLevel="0" collapsed="false">
      <c r="A20" s="6" t="s">
        <v>55</v>
      </c>
      <c r="B20" s="7" t="str">
        <f aca="false">INDEX(条文マスタ!$C$5:$C$24,MATCH($A20,条文マスタ!$A$5:$A$24,0))</f>
        <v>管理技術者等（図書の整理）</v>
      </c>
      <c r="C20" s="7"/>
      <c r="D20" s="7"/>
      <c r="E20" s="7"/>
      <c r="F20" s="7"/>
      <c r="G20" s="8" t="str">
        <f aca="false">INDEX(条文マスタ!$D$5:$D$24,MATCH($A20,条文マスタ!$A$5:$A$24,0))</f>
        <v>業務の実施にあたっては、業務に関する図書を適切に整理しておくこと。</v>
      </c>
      <c r="H20" s="8"/>
      <c r="I20" s="9" t="str">
        <f aca="false">COUNT($C$21:$C$24)&amp;"件"</f>
        <v>4件</v>
      </c>
      <c r="J20" s="6" t="s">
        <v>22</v>
      </c>
      <c r="K20" s="6" t="str">
        <f aca="false">IF(COUNT($C$21:$C$24)=0,0,SUMPRODUCT(($C$21:$C$24&lt;&gt;"")/COUNTIFS($D$21:$D$24,$D$21:$D$24&amp;"")))&amp;"日"</f>
        <v>2日</v>
      </c>
      <c r="L20" s="10"/>
    </row>
    <row r="21" customFormat="false" ht="15" hidden="false" customHeight="false" outlineLevel="0" collapsed="false">
      <c r="A21" s="11" t="s">
        <v>56</v>
      </c>
      <c r="B21" s="12"/>
      <c r="C21" s="13" t="n">
        <v>1</v>
      </c>
      <c r="D21" s="14" t="n">
        <v>46290</v>
      </c>
      <c r="E21" s="13" t="str">
        <f aca="false">MID("日月火水木金土",WEEKDAY(D21),1)</f>
        <v>金</v>
      </c>
      <c r="F21" s="13" t="s">
        <v>57</v>
      </c>
      <c r="G21" s="15" t="s">
        <v>58</v>
      </c>
      <c r="H21" s="15" t="s">
        <v>59</v>
      </c>
      <c r="I21" s="15"/>
      <c r="J21" s="16" t="s">
        <v>34</v>
      </c>
      <c r="K21" s="17" t="n">
        <v>119</v>
      </c>
      <c r="L21" s="15"/>
    </row>
    <row r="22" customFormat="false" ht="15" hidden="false" customHeight="false" outlineLevel="0" collapsed="false">
      <c r="A22" s="11" t="s">
        <v>56</v>
      </c>
      <c r="B22" s="12"/>
      <c r="C22" s="13" t="n">
        <v>2</v>
      </c>
      <c r="D22" s="14" t="n">
        <v>46290</v>
      </c>
      <c r="E22" s="13" t="str">
        <f aca="false">MID("日月火水木金土",WEEKDAY(D22),1)</f>
        <v>金</v>
      </c>
      <c r="F22" s="13" t="s">
        <v>46</v>
      </c>
      <c r="G22" s="15" t="s">
        <v>58</v>
      </c>
      <c r="H22" s="15" t="s">
        <v>59</v>
      </c>
      <c r="I22" s="15"/>
      <c r="J22" s="16" t="s">
        <v>34</v>
      </c>
      <c r="K22" s="17" t="n">
        <v>119</v>
      </c>
      <c r="L22" s="15"/>
    </row>
    <row r="23" customFormat="false" ht="15" hidden="false" customHeight="false" outlineLevel="0" collapsed="false">
      <c r="A23" s="11" t="s">
        <v>56</v>
      </c>
      <c r="B23" s="12"/>
      <c r="C23" s="13" t="n">
        <v>3</v>
      </c>
      <c r="D23" s="14" t="n">
        <v>46293</v>
      </c>
      <c r="E23" s="13" t="str">
        <f aca="false">MID("日月火水木金土",WEEKDAY(D23),1)</f>
        <v>月</v>
      </c>
      <c r="F23" s="13" t="s">
        <v>57</v>
      </c>
      <c r="G23" s="15" t="s">
        <v>58</v>
      </c>
      <c r="H23" s="15" t="s">
        <v>59</v>
      </c>
      <c r="I23" s="15"/>
      <c r="J23" s="16" t="s">
        <v>34</v>
      </c>
      <c r="K23" s="17" t="n">
        <v>120</v>
      </c>
      <c r="L23" s="15"/>
    </row>
    <row r="24" customFormat="false" ht="15" hidden="false" customHeight="false" outlineLevel="0" collapsed="false">
      <c r="A24" s="11" t="s">
        <v>56</v>
      </c>
      <c r="B24" s="12"/>
      <c r="C24" s="13" t="n">
        <v>4</v>
      </c>
      <c r="D24" s="14" t="n">
        <v>46293</v>
      </c>
      <c r="E24" s="13" t="str">
        <f aca="false">MID("日月火水木金土",WEEKDAY(D24),1)</f>
        <v>月</v>
      </c>
      <c r="F24" s="13" t="s">
        <v>42</v>
      </c>
      <c r="G24" s="15" t="s">
        <v>58</v>
      </c>
      <c r="H24" s="15" t="s">
        <v>59</v>
      </c>
      <c r="I24" s="15"/>
      <c r="J24" s="16" t="s">
        <v>34</v>
      </c>
      <c r="K24" s="17" t="n">
        <v>120</v>
      </c>
      <c r="L24" s="15"/>
    </row>
    <row r="25" customFormat="false" ht="30" hidden="false" customHeight="true" outlineLevel="0" collapsed="false">
      <c r="A25" s="6" t="s">
        <v>60</v>
      </c>
      <c r="B25" s="7" t="str">
        <f aca="false">INDEX(条文マスタ!$C$5:$C$24,MATCH($A25,条文マスタ!$A$5:$A$24,0))</f>
        <v>管理技術者等（監督職員との打合せ・協議）</v>
      </c>
      <c r="C25" s="7"/>
      <c r="D25" s="7"/>
      <c r="E25" s="7"/>
      <c r="F25" s="7"/>
      <c r="G25" s="8" t="str">
        <f aca="false">INDEX(条文マスタ!$D$5:$D$24,MATCH($A25,条文マスタ!$A$5:$A$24,0))</f>
        <v>管理技術者は、特記仕様書に定めるところにより監督職員と打合せ・協議を行い、その結果について相互に確認する（特記仕様書：着手時及び最終時の計2回）。</v>
      </c>
      <c r="H25" s="8"/>
      <c r="I25" s="9" t="str">
        <f aca="false">COUNT($C$26:$C$26)&amp;"件"</f>
        <v>0件</v>
      </c>
      <c r="J25" s="6" t="s">
        <v>22</v>
      </c>
      <c r="K25" s="6" t="str">
        <f aca="false">IF(COUNT($C$26:$C$26)=0,0,SUMPRODUCT(($C$26:$C$26&lt;&gt;"")/COUNTIFS($D$26:$D$26,$D$26:$D$26&amp;"")))&amp;"日"</f>
        <v>0日</v>
      </c>
      <c r="L25" s="10"/>
    </row>
    <row r="26" customFormat="false" ht="15" hidden="false" customHeight="false" outlineLevel="0" collapsed="false">
      <c r="A26" s="18" t="s">
        <v>61</v>
      </c>
      <c r="B26" s="19"/>
      <c r="C26" s="19"/>
      <c r="D26" s="19"/>
      <c r="E26" s="19"/>
      <c r="F26" s="19"/>
      <c r="G26" s="19"/>
      <c r="H26" s="20" t="s">
        <v>62</v>
      </c>
      <c r="I26" s="20"/>
      <c r="J26" s="20"/>
      <c r="K26" s="20"/>
      <c r="L26" s="20"/>
    </row>
    <row r="27" customFormat="false" ht="30" hidden="false" customHeight="true" outlineLevel="0" collapsed="false">
      <c r="A27" s="6" t="s">
        <v>63</v>
      </c>
      <c r="B27" s="7" t="str">
        <f aca="false">INDEX(条文マスタ!$C$5:$C$24,MATCH($A27,条文マスタ!$A$5:$A$24,0))</f>
        <v>業務処理予定表及び結果報告書</v>
      </c>
      <c r="C27" s="7"/>
      <c r="D27" s="7"/>
      <c r="E27" s="7"/>
      <c r="F27" s="7"/>
      <c r="G27" s="8" t="str">
        <f aca="false">INDEX(条文マスタ!$D$5:$D$24,MATCH($A27,条文マスタ!$A$5:$A$24,0))</f>
        <v>業務処理予定表及び業務処理結果報告書（実施した業務の内容、その他必要事項）を作成し、監督職員に提出する。</v>
      </c>
      <c r="H27" s="8"/>
      <c r="I27" s="9" t="str">
        <f aca="false">COUNT($C$28:$C$47)&amp;"件"</f>
        <v>20件</v>
      </c>
      <c r="J27" s="6" t="s">
        <v>22</v>
      </c>
      <c r="K27" s="6" t="str">
        <f aca="false">IF(COUNT($C$28:$C$47)=0,0,SUMPRODUCT(($C$28:$C$47&lt;&gt;"")/COUNTIFS($D$28:$D$47,$D$28:$D$47&amp;"")))&amp;"日"</f>
        <v>19日</v>
      </c>
      <c r="L27" s="10"/>
    </row>
    <row r="28" customFormat="false" ht="26.85" hidden="false" customHeight="false" outlineLevel="0" collapsed="false">
      <c r="A28" s="11" t="s">
        <v>64</v>
      </c>
      <c r="B28" s="12"/>
      <c r="C28" s="13" t="n">
        <v>1</v>
      </c>
      <c r="D28" s="14" t="n">
        <v>46266</v>
      </c>
      <c r="E28" s="13" t="str">
        <f aca="false">MID("日月火水木金土",WEEKDAY(D28),1)</f>
        <v>火</v>
      </c>
      <c r="F28" s="13" t="s">
        <v>35</v>
      </c>
      <c r="G28" s="21" t="s">
        <v>65</v>
      </c>
      <c r="H28" s="21" t="s">
        <v>66</v>
      </c>
      <c r="I28" s="21"/>
      <c r="J28" s="16" t="s">
        <v>34</v>
      </c>
      <c r="K28" s="17" t="n">
        <v>104</v>
      </c>
      <c r="L28" s="15" t="s">
        <v>67</v>
      </c>
    </row>
    <row r="29" customFormat="false" ht="26.85" hidden="false" customHeight="false" outlineLevel="0" collapsed="false">
      <c r="A29" s="11" t="s">
        <v>64</v>
      </c>
      <c r="B29" s="12"/>
      <c r="C29" s="13" t="n">
        <v>2</v>
      </c>
      <c r="D29" s="14" t="n">
        <v>46267</v>
      </c>
      <c r="E29" s="13" t="str">
        <f aca="false">MID("日月火水木金土",WEEKDAY(D29),1)</f>
        <v>水</v>
      </c>
      <c r="F29" s="13" t="s">
        <v>35</v>
      </c>
      <c r="G29" s="21" t="s">
        <v>65</v>
      </c>
      <c r="H29" s="21" t="s">
        <v>68</v>
      </c>
      <c r="I29" s="21"/>
      <c r="J29" s="16" t="s">
        <v>34</v>
      </c>
      <c r="K29" s="17" t="n">
        <v>105</v>
      </c>
      <c r="L29" s="15" t="s">
        <v>67</v>
      </c>
    </row>
    <row r="30" customFormat="false" ht="15" hidden="false" customHeight="false" outlineLevel="0" collapsed="false">
      <c r="A30" s="11" t="s">
        <v>64</v>
      </c>
      <c r="B30" s="12"/>
      <c r="C30" s="13" t="n">
        <v>3</v>
      </c>
      <c r="D30" s="14" t="n">
        <v>46267</v>
      </c>
      <c r="E30" s="13" t="str">
        <f aca="false">MID("日月火水木金土",WEEKDAY(D30),1)</f>
        <v>水</v>
      </c>
      <c r="F30" s="13" t="s">
        <v>50</v>
      </c>
      <c r="G30" s="21" t="s">
        <v>65</v>
      </c>
      <c r="H30" s="15" t="s">
        <v>69</v>
      </c>
      <c r="I30" s="21"/>
      <c r="J30" s="16" t="s">
        <v>34</v>
      </c>
      <c r="K30" s="17" t="n">
        <v>105</v>
      </c>
      <c r="L30" s="21"/>
    </row>
    <row r="31" customFormat="false" ht="26.85" hidden="false" customHeight="false" outlineLevel="0" collapsed="false">
      <c r="A31" s="11" t="s">
        <v>64</v>
      </c>
      <c r="B31" s="12"/>
      <c r="C31" s="13" t="n">
        <v>4</v>
      </c>
      <c r="D31" s="14" t="n">
        <v>46268</v>
      </c>
      <c r="E31" s="13" t="str">
        <f aca="false">MID("日月火水木金土",WEEKDAY(D31),1)</f>
        <v>木</v>
      </c>
      <c r="F31" s="13" t="s">
        <v>35</v>
      </c>
      <c r="G31" s="21" t="s">
        <v>65</v>
      </c>
      <c r="H31" s="21" t="s">
        <v>66</v>
      </c>
      <c r="I31" s="21"/>
      <c r="J31" s="16" t="s">
        <v>34</v>
      </c>
      <c r="K31" s="17" t="n">
        <v>106</v>
      </c>
      <c r="L31" s="15" t="s">
        <v>67</v>
      </c>
    </row>
    <row r="32" customFormat="false" ht="26.85" hidden="false" customHeight="false" outlineLevel="0" collapsed="false">
      <c r="A32" s="11" t="s">
        <v>64</v>
      </c>
      <c r="B32" s="12"/>
      <c r="C32" s="13" t="n">
        <v>5</v>
      </c>
      <c r="D32" s="14" t="n">
        <v>46269</v>
      </c>
      <c r="E32" s="13" t="str">
        <f aca="false">MID("日月火水木金土",WEEKDAY(D32),1)</f>
        <v>金</v>
      </c>
      <c r="F32" s="13" t="s">
        <v>35</v>
      </c>
      <c r="G32" s="21" t="s">
        <v>65</v>
      </c>
      <c r="H32" s="21" t="s">
        <v>66</v>
      </c>
      <c r="I32" s="21"/>
      <c r="J32" s="16" t="s">
        <v>34</v>
      </c>
      <c r="K32" s="17" t="n">
        <v>107</v>
      </c>
      <c r="L32" s="15" t="s">
        <v>67</v>
      </c>
    </row>
    <row r="33" customFormat="false" ht="26.85" hidden="false" customHeight="false" outlineLevel="0" collapsed="false">
      <c r="A33" s="11" t="s">
        <v>64</v>
      </c>
      <c r="B33" s="12"/>
      <c r="C33" s="13" t="n">
        <v>6</v>
      </c>
      <c r="D33" s="14" t="n">
        <v>46272</v>
      </c>
      <c r="E33" s="13" t="str">
        <f aca="false">MID("日月火水木金土",WEEKDAY(D33),1)</f>
        <v>月</v>
      </c>
      <c r="F33" s="13" t="s">
        <v>35</v>
      </c>
      <c r="G33" s="21" t="s">
        <v>65</v>
      </c>
      <c r="H33" s="21" t="s">
        <v>66</v>
      </c>
      <c r="I33" s="21"/>
      <c r="J33" s="16" t="s">
        <v>39</v>
      </c>
      <c r="K33" s="17" t="n">
        <v>108</v>
      </c>
      <c r="L33" s="15" t="s">
        <v>67</v>
      </c>
    </row>
    <row r="34" customFormat="false" ht="26.85" hidden="false" customHeight="false" outlineLevel="0" collapsed="false">
      <c r="A34" s="11" t="s">
        <v>64</v>
      </c>
      <c r="B34" s="12"/>
      <c r="C34" s="13" t="n">
        <v>7</v>
      </c>
      <c r="D34" s="14" t="n">
        <v>46273</v>
      </c>
      <c r="E34" s="13" t="str">
        <f aca="false">MID("日月火水木金土",WEEKDAY(D34),1)</f>
        <v>火</v>
      </c>
      <c r="F34" s="13" t="s">
        <v>35</v>
      </c>
      <c r="G34" s="21" t="s">
        <v>65</v>
      </c>
      <c r="H34" s="21" t="s">
        <v>66</v>
      </c>
      <c r="I34" s="21"/>
      <c r="J34" s="16" t="s">
        <v>34</v>
      </c>
      <c r="K34" s="17" t="n">
        <v>109</v>
      </c>
      <c r="L34" s="15" t="s">
        <v>67</v>
      </c>
    </row>
    <row r="35" customFormat="false" ht="26.85" hidden="false" customHeight="false" outlineLevel="0" collapsed="false">
      <c r="A35" s="11" t="s">
        <v>64</v>
      </c>
      <c r="B35" s="12"/>
      <c r="C35" s="13" t="n">
        <v>8</v>
      </c>
      <c r="D35" s="14" t="n">
        <v>46274</v>
      </c>
      <c r="E35" s="13" t="str">
        <f aca="false">MID("日月火水木金土",WEEKDAY(D35),1)</f>
        <v>水</v>
      </c>
      <c r="F35" s="13" t="s">
        <v>35</v>
      </c>
      <c r="G35" s="21" t="s">
        <v>65</v>
      </c>
      <c r="H35" s="21" t="s">
        <v>66</v>
      </c>
      <c r="I35" s="21"/>
      <c r="J35" s="16" t="s">
        <v>34</v>
      </c>
      <c r="K35" s="17" t="n">
        <v>110</v>
      </c>
      <c r="L35" s="15" t="s">
        <v>67</v>
      </c>
    </row>
    <row r="36" customFormat="false" ht="26.85" hidden="false" customHeight="false" outlineLevel="0" collapsed="false">
      <c r="A36" s="11" t="s">
        <v>64</v>
      </c>
      <c r="B36" s="12"/>
      <c r="C36" s="13" t="n">
        <v>9</v>
      </c>
      <c r="D36" s="14" t="n">
        <v>46275</v>
      </c>
      <c r="E36" s="13" t="str">
        <f aca="false">MID("日月火水木金土",WEEKDAY(D36),1)</f>
        <v>木</v>
      </c>
      <c r="F36" s="13" t="s">
        <v>35</v>
      </c>
      <c r="G36" s="21" t="s">
        <v>65</v>
      </c>
      <c r="H36" s="21" t="s">
        <v>66</v>
      </c>
      <c r="I36" s="21"/>
      <c r="J36" s="16" t="s">
        <v>27</v>
      </c>
      <c r="K36" s="17" t="n">
        <v>111</v>
      </c>
      <c r="L36" s="15" t="s">
        <v>67</v>
      </c>
    </row>
    <row r="37" customFormat="false" ht="26.85" hidden="false" customHeight="false" outlineLevel="0" collapsed="false">
      <c r="A37" s="11" t="s">
        <v>64</v>
      </c>
      <c r="B37" s="12"/>
      <c r="C37" s="13" t="n">
        <v>10</v>
      </c>
      <c r="D37" s="14" t="n">
        <v>46276</v>
      </c>
      <c r="E37" s="13" t="str">
        <f aca="false">MID("日月火水木金土",WEEKDAY(D37),1)</f>
        <v>金</v>
      </c>
      <c r="F37" s="13" t="s">
        <v>35</v>
      </c>
      <c r="G37" s="21" t="s">
        <v>65</v>
      </c>
      <c r="H37" s="21" t="s">
        <v>70</v>
      </c>
      <c r="I37" s="21"/>
      <c r="J37" s="16" t="s">
        <v>34</v>
      </c>
      <c r="K37" s="17" t="n">
        <v>112</v>
      </c>
      <c r="L37" s="15" t="s">
        <v>67</v>
      </c>
    </row>
    <row r="38" customFormat="false" ht="26.85" hidden="false" customHeight="false" outlineLevel="0" collapsed="false">
      <c r="A38" s="11" t="s">
        <v>64</v>
      </c>
      <c r="B38" s="12"/>
      <c r="C38" s="13" t="n">
        <v>11</v>
      </c>
      <c r="D38" s="14" t="n">
        <v>46279</v>
      </c>
      <c r="E38" s="13" t="str">
        <f aca="false">MID("日月火水木金土",WEEKDAY(D38),1)</f>
        <v>月</v>
      </c>
      <c r="F38" s="13" t="s">
        <v>35</v>
      </c>
      <c r="G38" s="21" t="s">
        <v>65</v>
      </c>
      <c r="H38" s="21" t="s">
        <v>66</v>
      </c>
      <c r="I38" s="21"/>
      <c r="J38" s="16" t="s">
        <v>34</v>
      </c>
      <c r="K38" s="17" t="n">
        <v>113</v>
      </c>
      <c r="L38" s="15" t="s">
        <v>67</v>
      </c>
    </row>
    <row r="39" customFormat="false" ht="26.85" hidden="false" customHeight="false" outlineLevel="0" collapsed="false">
      <c r="A39" s="11" t="s">
        <v>64</v>
      </c>
      <c r="B39" s="12"/>
      <c r="C39" s="13" t="n">
        <v>12</v>
      </c>
      <c r="D39" s="14" t="n">
        <v>46280</v>
      </c>
      <c r="E39" s="13" t="str">
        <f aca="false">MID("日月火水木金土",WEEKDAY(D39),1)</f>
        <v>火</v>
      </c>
      <c r="F39" s="13" t="s">
        <v>35</v>
      </c>
      <c r="G39" s="21" t="s">
        <v>65</v>
      </c>
      <c r="H39" s="21" t="s">
        <v>68</v>
      </c>
      <c r="I39" s="21"/>
      <c r="J39" s="16" t="s">
        <v>34</v>
      </c>
      <c r="K39" s="17" t="n">
        <v>114</v>
      </c>
      <c r="L39" s="15" t="s">
        <v>67</v>
      </c>
    </row>
    <row r="40" customFormat="false" ht="26.85" hidden="false" customHeight="false" outlineLevel="0" collapsed="false">
      <c r="A40" s="11" t="s">
        <v>64</v>
      </c>
      <c r="B40" s="12"/>
      <c r="C40" s="13" t="n">
        <v>13</v>
      </c>
      <c r="D40" s="14" t="n">
        <v>46281</v>
      </c>
      <c r="E40" s="13" t="str">
        <f aca="false">MID("日月火水木金土",WEEKDAY(D40),1)</f>
        <v>水</v>
      </c>
      <c r="F40" s="13" t="s">
        <v>35</v>
      </c>
      <c r="G40" s="21" t="s">
        <v>65</v>
      </c>
      <c r="H40" s="21" t="s">
        <v>68</v>
      </c>
      <c r="I40" s="21"/>
      <c r="J40" s="16" t="s">
        <v>34</v>
      </c>
      <c r="K40" s="17" t="n">
        <v>115</v>
      </c>
      <c r="L40" s="15" t="s">
        <v>67</v>
      </c>
    </row>
    <row r="41" customFormat="false" ht="26.85" hidden="false" customHeight="false" outlineLevel="0" collapsed="false">
      <c r="A41" s="11" t="s">
        <v>64</v>
      </c>
      <c r="B41" s="12"/>
      <c r="C41" s="13" t="n">
        <v>14</v>
      </c>
      <c r="D41" s="14" t="n">
        <v>46282</v>
      </c>
      <c r="E41" s="13" t="str">
        <f aca="false">MID("日月火水木金土",WEEKDAY(D41),1)</f>
        <v>木</v>
      </c>
      <c r="F41" s="13" t="s">
        <v>35</v>
      </c>
      <c r="G41" s="21" t="s">
        <v>65</v>
      </c>
      <c r="H41" s="21" t="s">
        <v>66</v>
      </c>
      <c r="I41" s="21"/>
      <c r="J41" s="16" t="s">
        <v>34</v>
      </c>
      <c r="K41" s="17" t="n">
        <v>116</v>
      </c>
      <c r="L41" s="15" t="s">
        <v>67</v>
      </c>
    </row>
    <row r="42" customFormat="false" ht="26.85" hidden="false" customHeight="false" outlineLevel="0" collapsed="false">
      <c r="A42" s="11" t="s">
        <v>64</v>
      </c>
      <c r="B42" s="12"/>
      <c r="C42" s="13" t="n">
        <v>15</v>
      </c>
      <c r="D42" s="14" t="n">
        <v>46283</v>
      </c>
      <c r="E42" s="13" t="str">
        <f aca="false">MID("日月火水木金土",WEEKDAY(D42),1)</f>
        <v>金</v>
      </c>
      <c r="F42" s="13" t="s">
        <v>35</v>
      </c>
      <c r="G42" s="21" t="s">
        <v>65</v>
      </c>
      <c r="H42" s="21" t="s">
        <v>66</v>
      </c>
      <c r="I42" s="21"/>
      <c r="J42" s="16" t="s">
        <v>34</v>
      </c>
      <c r="K42" s="17" t="n">
        <v>117</v>
      </c>
      <c r="L42" s="15" t="s">
        <v>67</v>
      </c>
    </row>
    <row r="43" customFormat="false" ht="26.85" hidden="false" customHeight="false" outlineLevel="0" collapsed="false">
      <c r="A43" s="11" t="s">
        <v>64</v>
      </c>
      <c r="B43" s="12"/>
      <c r="C43" s="13" t="n">
        <v>16</v>
      </c>
      <c r="D43" s="14" t="n">
        <v>46289</v>
      </c>
      <c r="E43" s="13" t="str">
        <f aca="false">MID("日月火水木金土",WEEKDAY(D43),1)</f>
        <v>木</v>
      </c>
      <c r="F43" s="13" t="s">
        <v>35</v>
      </c>
      <c r="G43" s="21" t="s">
        <v>65</v>
      </c>
      <c r="H43" s="21" t="s">
        <v>68</v>
      </c>
      <c r="I43" s="21"/>
      <c r="J43" s="16" t="s">
        <v>34</v>
      </c>
      <c r="K43" s="17" t="n">
        <v>118</v>
      </c>
      <c r="L43" s="15" t="s">
        <v>67</v>
      </c>
    </row>
    <row r="44" customFormat="false" ht="26.85" hidden="false" customHeight="false" outlineLevel="0" collapsed="false">
      <c r="A44" s="11" t="s">
        <v>64</v>
      </c>
      <c r="B44" s="12"/>
      <c r="C44" s="13" t="n">
        <v>17</v>
      </c>
      <c r="D44" s="14" t="n">
        <v>46290</v>
      </c>
      <c r="E44" s="13" t="str">
        <f aca="false">MID("日月火水木金土",WEEKDAY(D44),1)</f>
        <v>金</v>
      </c>
      <c r="F44" s="13" t="s">
        <v>35</v>
      </c>
      <c r="G44" s="21" t="s">
        <v>65</v>
      </c>
      <c r="H44" s="21" t="s">
        <v>68</v>
      </c>
      <c r="I44" s="21"/>
      <c r="J44" s="16" t="s">
        <v>34</v>
      </c>
      <c r="K44" s="17" t="n">
        <v>119</v>
      </c>
      <c r="L44" s="15" t="s">
        <v>67</v>
      </c>
    </row>
    <row r="45" customFormat="false" ht="26.85" hidden="false" customHeight="false" outlineLevel="0" collapsed="false">
      <c r="A45" s="11" t="s">
        <v>64</v>
      </c>
      <c r="B45" s="12"/>
      <c r="C45" s="13" t="n">
        <v>18</v>
      </c>
      <c r="D45" s="14" t="n">
        <v>46293</v>
      </c>
      <c r="E45" s="13" t="str">
        <f aca="false">MID("日月火水木金土",WEEKDAY(D45),1)</f>
        <v>月</v>
      </c>
      <c r="F45" s="13" t="s">
        <v>35</v>
      </c>
      <c r="G45" s="21" t="s">
        <v>65</v>
      </c>
      <c r="H45" s="21" t="s">
        <v>68</v>
      </c>
      <c r="I45" s="21"/>
      <c r="J45" s="16" t="s">
        <v>71</v>
      </c>
      <c r="K45" s="17" t="n">
        <v>120</v>
      </c>
      <c r="L45" s="15" t="s">
        <v>67</v>
      </c>
    </row>
    <row r="46" customFormat="false" ht="26.85" hidden="false" customHeight="false" outlineLevel="0" collapsed="false">
      <c r="A46" s="11" t="s">
        <v>64</v>
      </c>
      <c r="B46" s="12"/>
      <c r="C46" s="13" t="n">
        <v>19</v>
      </c>
      <c r="D46" s="14" t="n">
        <v>46294</v>
      </c>
      <c r="E46" s="13" t="str">
        <f aca="false">MID("日月火水木金土",WEEKDAY(D46),1)</f>
        <v>火</v>
      </c>
      <c r="F46" s="13" t="s">
        <v>50</v>
      </c>
      <c r="G46" s="21" t="s">
        <v>65</v>
      </c>
      <c r="H46" s="21" t="s">
        <v>72</v>
      </c>
      <c r="I46" s="21"/>
      <c r="J46" s="16" t="s">
        <v>34</v>
      </c>
      <c r="K46" s="17" t="n">
        <v>121</v>
      </c>
      <c r="L46" s="15" t="s">
        <v>67</v>
      </c>
    </row>
    <row r="47" customFormat="false" ht="26.85" hidden="false" customHeight="false" outlineLevel="0" collapsed="false">
      <c r="A47" s="11" t="s">
        <v>64</v>
      </c>
      <c r="B47" s="12"/>
      <c r="C47" s="13" t="n">
        <v>20</v>
      </c>
      <c r="D47" s="14" t="n">
        <v>46295</v>
      </c>
      <c r="E47" s="13" t="str">
        <f aca="false">MID("日月火水木金土",WEEKDAY(D47),1)</f>
        <v>水</v>
      </c>
      <c r="F47" s="13" t="s">
        <v>35</v>
      </c>
      <c r="G47" s="21" t="s">
        <v>65</v>
      </c>
      <c r="H47" s="21" t="s">
        <v>66</v>
      </c>
      <c r="I47" s="21"/>
      <c r="J47" s="16" t="s">
        <v>34</v>
      </c>
      <c r="K47" s="17" t="n">
        <v>122</v>
      </c>
      <c r="L47" s="15" t="s">
        <v>67</v>
      </c>
    </row>
    <row r="48" customFormat="false" ht="30" hidden="false" customHeight="true" outlineLevel="0" collapsed="false">
      <c r="A48" s="6" t="s">
        <v>73</v>
      </c>
      <c r="B48" s="7" t="str">
        <f aca="false">INDEX(条文マスタ!$C$5:$C$24,MATCH($A48,条文マスタ!$A$5:$A$24,0))</f>
        <v>業務完了時の提出書類</v>
      </c>
      <c r="C48" s="7"/>
      <c r="D48" s="7"/>
      <c r="E48" s="7"/>
      <c r="F48" s="7"/>
      <c r="G48" s="8" t="str">
        <f aca="false">INDEX(条文マスタ!$D$5:$D$24,MATCH($A48,条文マスタ!$A$5:$A$24,0))</f>
        <v>業務完了時に、業務処理結果報告書を一括整理して提出する。</v>
      </c>
      <c r="H48" s="8"/>
      <c r="I48" s="9" t="str">
        <f aca="false">COUNT($C$49:$C$49)&amp;"件"</f>
        <v>0件</v>
      </c>
      <c r="J48" s="6" t="s">
        <v>22</v>
      </c>
      <c r="K48" s="6" t="str">
        <f aca="false">IF(COUNT($C$49:$C$49)=0,0,SUMPRODUCT(($C$49:$C$49&lt;&gt;"")/COUNTIFS($D$49:$D$49,$D$49:$D$49&amp;"")))&amp;"日"</f>
        <v>0日</v>
      </c>
      <c r="L48" s="10"/>
    </row>
    <row r="49" customFormat="false" ht="15" hidden="false" customHeight="false" outlineLevel="0" collapsed="false">
      <c r="A49" s="18" t="s">
        <v>74</v>
      </c>
      <c r="B49" s="19"/>
      <c r="C49" s="19"/>
      <c r="D49" s="19"/>
      <c r="E49" s="19"/>
      <c r="F49" s="19"/>
      <c r="G49" s="19"/>
      <c r="H49" s="20" t="s">
        <v>62</v>
      </c>
      <c r="I49" s="20"/>
      <c r="J49" s="20"/>
      <c r="K49" s="20"/>
      <c r="L49" s="20"/>
    </row>
    <row r="50" customFormat="false" ht="30" hidden="false" customHeight="true" outlineLevel="0" collapsed="false">
      <c r="A50" s="6" t="s">
        <v>75</v>
      </c>
      <c r="B50" s="7" t="str">
        <f aca="false">INDEX(条文マスタ!$C$5:$C$24,MATCH($A50,条文マスタ!$A$5:$A$24,0))</f>
        <v>書類の確認</v>
      </c>
      <c r="C50" s="7"/>
      <c r="D50" s="7"/>
      <c r="E50" s="7"/>
      <c r="F50" s="7"/>
      <c r="G50" s="8" t="str">
        <f aca="false">INDEX(条文マスタ!$D$5:$D$24,MATCH($A50,条文マスタ!$A$5:$A$24,0))</f>
        <v>工事請負者から提出された書類は、これを確認し監督職員に報告しなければならない。</v>
      </c>
      <c r="H50" s="8"/>
      <c r="I50" s="9" t="str">
        <f aca="false">COUNT($C$51:$C$72)&amp;"件"</f>
        <v>22件</v>
      </c>
      <c r="J50" s="6" t="s">
        <v>22</v>
      </c>
      <c r="K50" s="6" t="str">
        <f aca="false">IF(COUNT($C$51:$C$72)=0,0,SUMPRODUCT(($C$51:$C$72&lt;&gt;"")/COUNTIFS($D$51:$D$72,$D$51:$D$72&amp;"")))&amp;"日"</f>
        <v>9日</v>
      </c>
      <c r="L50" s="10"/>
    </row>
    <row r="51" customFormat="false" ht="15" hidden="false" customHeight="false" outlineLevel="0" collapsed="false">
      <c r="A51" s="11" t="s">
        <v>76</v>
      </c>
      <c r="B51" s="12"/>
      <c r="C51" s="13" t="n">
        <v>1</v>
      </c>
      <c r="D51" s="14" t="n">
        <v>46266</v>
      </c>
      <c r="E51" s="13" t="str">
        <f aca="false">MID("日月火水木金土",WEEKDAY(D51),1)</f>
        <v>火</v>
      </c>
      <c r="F51" s="13" t="s">
        <v>77</v>
      </c>
      <c r="G51" s="15" t="s">
        <v>78</v>
      </c>
      <c r="H51" s="15" t="s">
        <v>79</v>
      </c>
      <c r="I51" s="21"/>
      <c r="J51" s="16" t="s">
        <v>34</v>
      </c>
      <c r="K51" s="17" t="n">
        <v>104</v>
      </c>
      <c r="L51" s="21"/>
    </row>
    <row r="52" customFormat="false" ht="15" hidden="false" customHeight="false" outlineLevel="0" collapsed="false">
      <c r="A52" s="11" t="s">
        <v>76</v>
      </c>
      <c r="B52" s="12"/>
      <c r="C52" s="13" t="n">
        <v>2</v>
      </c>
      <c r="D52" s="14" t="n">
        <v>46266</v>
      </c>
      <c r="E52" s="13" t="str">
        <f aca="false">MID("日月火水木金土",WEEKDAY(D52),1)</f>
        <v>火</v>
      </c>
      <c r="F52" s="13" t="s">
        <v>46</v>
      </c>
      <c r="G52" s="15" t="s">
        <v>80</v>
      </c>
      <c r="H52" s="21" t="s">
        <v>81</v>
      </c>
      <c r="I52" s="21"/>
      <c r="J52" s="16" t="s">
        <v>39</v>
      </c>
      <c r="K52" s="17" t="n">
        <v>104</v>
      </c>
      <c r="L52" s="21"/>
    </row>
    <row r="53" customFormat="false" ht="15" hidden="false" customHeight="false" outlineLevel="0" collapsed="false">
      <c r="A53" s="11" t="s">
        <v>76</v>
      </c>
      <c r="B53" s="12"/>
      <c r="C53" s="13" t="n">
        <v>3</v>
      </c>
      <c r="D53" s="14" t="n">
        <v>46266</v>
      </c>
      <c r="E53" s="13" t="str">
        <f aca="false">MID("日月火水木金土",WEEKDAY(D53),1)</f>
        <v>火</v>
      </c>
      <c r="F53" s="13" t="s">
        <v>53</v>
      </c>
      <c r="G53" s="15" t="s">
        <v>78</v>
      </c>
      <c r="H53" s="15" t="s">
        <v>82</v>
      </c>
      <c r="I53" s="21"/>
      <c r="J53" s="16" t="s">
        <v>34</v>
      </c>
      <c r="K53" s="17" t="n">
        <v>104</v>
      </c>
      <c r="L53" s="21"/>
    </row>
    <row r="54" customFormat="false" ht="15" hidden="false" customHeight="false" outlineLevel="0" collapsed="false">
      <c r="A54" s="11" t="s">
        <v>76</v>
      </c>
      <c r="B54" s="12"/>
      <c r="C54" s="13" t="n">
        <v>4</v>
      </c>
      <c r="D54" s="14" t="n">
        <v>46266</v>
      </c>
      <c r="E54" s="13" t="str">
        <f aca="false">MID("日月火水木金土",WEEKDAY(D54),1)</f>
        <v>火</v>
      </c>
      <c r="F54" s="13" t="s">
        <v>42</v>
      </c>
      <c r="G54" s="15" t="s">
        <v>78</v>
      </c>
      <c r="H54" s="15" t="s">
        <v>83</v>
      </c>
      <c r="I54" s="21"/>
      <c r="J54" s="16" t="s">
        <v>34</v>
      </c>
      <c r="K54" s="17" t="n">
        <v>104</v>
      </c>
      <c r="L54" s="21"/>
    </row>
    <row r="55" customFormat="false" ht="15" hidden="false" customHeight="false" outlineLevel="0" collapsed="false">
      <c r="A55" s="11" t="s">
        <v>76</v>
      </c>
      <c r="B55" s="12"/>
      <c r="C55" s="13" t="n">
        <v>5</v>
      </c>
      <c r="D55" s="14" t="n">
        <v>46267</v>
      </c>
      <c r="E55" s="13" t="str">
        <f aca="false">MID("日月火水木金土",WEEKDAY(D55),1)</f>
        <v>水</v>
      </c>
      <c r="F55" s="13" t="s">
        <v>30</v>
      </c>
      <c r="G55" s="15" t="s">
        <v>80</v>
      </c>
      <c r="H55" s="15" t="s">
        <v>84</v>
      </c>
      <c r="I55" s="21"/>
      <c r="J55" s="16" t="s">
        <v>39</v>
      </c>
      <c r="K55" s="17" t="n">
        <v>105</v>
      </c>
      <c r="L55" s="21"/>
    </row>
    <row r="56" customFormat="false" ht="15" hidden="false" customHeight="false" outlineLevel="0" collapsed="false">
      <c r="A56" s="11" t="s">
        <v>76</v>
      </c>
      <c r="B56" s="12"/>
      <c r="C56" s="13" t="n">
        <v>6</v>
      </c>
      <c r="D56" s="14" t="n">
        <v>46267</v>
      </c>
      <c r="E56" s="13" t="str">
        <f aca="false">MID("日月火水木金土",WEEKDAY(D56),1)</f>
        <v>水</v>
      </c>
      <c r="F56" s="13" t="s">
        <v>57</v>
      </c>
      <c r="G56" s="15" t="s">
        <v>78</v>
      </c>
      <c r="H56" s="15" t="s">
        <v>85</v>
      </c>
      <c r="I56" s="21"/>
      <c r="J56" s="16" t="s">
        <v>34</v>
      </c>
      <c r="K56" s="17" t="n">
        <v>105</v>
      </c>
      <c r="L56" s="21"/>
    </row>
    <row r="57" customFormat="false" ht="15" hidden="false" customHeight="false" outlineLevel="0" collapsed="false">
      <c r="A57" s="11" t="s">
        <v>76</v>
      </c>
      <c r="B57" s="12"/>
      <c r="C57" s="13" t="n">
        <v>7</v>
      </c>
      <c r="D57" s="14" t="n">
        <v>46272</v>
      </c>
      <c r="E57" s="13" t="str">
        <f aca="false">MID("日月火水木金土",WEEKDAY(D57),1)</f>
        <v>月</v>
      </c>
      <c r="F57" s="13" t="s">
        <v>46</v>
      </c>
      <c r="G57" s="15" t="s">
        <v>78</v>
      </c>
      <c r="H57" s="15" t="s">
        <v>86</v>
      </c>
      <c r="I57" s="21"/>
      <c r="J57" s="16" t="s">
        <v>34</v>
      </c>
      <c r="K57" s="17" t="n">
        <v>108</v>
      </c>
      <c r="L57" s="21"/>
    </row>
    <row r="58" customFormat="false" ht="15" hidden="false" customHeight="false" outlineLevel="0" collapsed="false">
      <c r="A58" s="11" t="s">
        <v>76</v>
      </c>
      <c r="B58" s="12"/>
      <c r="C58" s="13" t="n">
        <v>8</v>
      </c>
      <c r="D58" s="14" t="n">
        <v>46272</v>
      </c>
      <c r="E58" s="13" t="str">
        <f aca="false">MID("日月火水木金土",WEEKDAY(D58),1)</f>
        <v>月</v>
      </c>
      <c r="F58" s="13" t="s">
        <v>42</v>
      </c>
      <c r="G58" s="15" t="s">
        <v>87</v>
      </c>
      <c r="H58" s="21" t="s">
        <v>88</v>
      </c>
      <c r="I58" s="21"/>
      <c r="J58" s="16" t="s">
        <v>34</v>
      </c>
      <c r="K58" s="17" t="n">
        <v>108</v>
      </c>
      <c r="L58" s="21"/>
    </row>
    <row r="59" customFormat="false" ht="15" hidden="false" customHeight="false" outlineLevel="0" collapsed="false">
      <c r="A59" s="11" t="s">
        <v>76</v>
      </c>
      <c r="B59" s="12"/>
      <c r="C59" s="13" t="n">
        <v>9</v>
      </c>
      <c r="D59" s="14" t="n">
        <v>46273</v>
      </c>
      <c r="E59" s="13" t="str">
        <f aca="false">MID("日月火水木金土",WEEKDAY(D59),1)</f>
        <v>火</v>
      </c>
      <c r="F59" s="13" t="s">
        <v>77</v>
      </c>
      <c r="G59" s="15" t="s">
        <v>87</v>
      </c>
      <c r="H59" s="21" t="s">
        <v>88</v>
      </c>
      <c r="I59" s="21"/>
      <c r="J59" s="16" t="s">
        <v>34</v>
      </c>
      <c r="K59" s="17" t="n">
        <v>109</v>
      </c>
      <c r="L59" s="21"/>
    </row>
    <row r="60" customFormat="false" ht="15" hidden="false" customHeight="false" outlineLevel="0" collapsed="false">
      <c r="A60" s="11" t="s">
        <v>76</v>
      </c>
      <c r="B60" s="12"/>
      <c r="C60" s="13" t="n">
        <v>10</v>
      </c>
      <c r="D60" s="14" t="n">
        <v>46274</v>
      </c>
      <c r="E60" s="13" t="str">
        <f aca="false">MID("日月火水木金土",WEEKDAY(D60),1)</f>
        <v>水</v>
      </c>
      <c r="F60" s="13" t="s">
        <v>50</v>
      </c>
      <c r="G60" s="15" t="s">
        <v>78</v>
      </c>
      <c r="H60" s="15" t="s">
        <v>89</v>
      </c>
      <c r="I60" s="21"/>
      <c r="J60" s="16" t="s">
        <v>34</v>
      </c>
      <c r="K60" s="17" t="n">
        <v>110</v>
      </c>
      <c r="L60" s="21"/>
    </row>
    <row r="61" customFormat="false" ht="15" hidden="false" customHeight="false" outlineLevel="0" collapsed="false">
      <c r="A61" s="11" t="s">
        <v>76</v>
      </c>
      <c r="B61" s="12"/>
      <c r="C61" s="13" t="n">
        <v>11</v>
      </c>
      <c r="D61" s="14" t="n">
        <v>46274</v>
      </c>
      <c r="E61" s="13" t="str">
        <f aca="false">MID("日月火水木金土",WEEKDAY(D61),1)</f>
        <v>水</v>
      </c>
      <c r="F61" s="13" t="s">
        <v>30</v>
      </c>
      <c r="G61" s="15" t="s">
        <v>78</v>
      </c>
      <c r="H61" s="15" t="s">
        <v>90</v>
      </c>
      <c r="I61" s="15" t="s">
        <v>91</v>
      </c>
      <c r="J61" s="16" t="s">
        <v>34</v>
      </c>
      <c r="K61" s="17" t="n">
        <v>110</v>
      </c>
      <c r="L61" s="21"/>
    </row>
    <row r="62" customFormat="false" ht="15" hidden="false" customHeight="false" outlineLevel="0" collapsed="false">
      <c r="A62" s="11" t="s">
        <v>76</v>
      </c>
      <c r="B62" s="12"/>
      <c r="C62" s="13" t="n">
        <v>12</v>
      </c>
      <c r="D62" s="14" t="n">
        <v>46279</v>
      </c>
      <c r="E62" s="13" t="str">
        <f aca="false">MID("日月火水木金土",WEEKDAY(D62),1)</f>
        <v>月</v>
      </c>
      <c r="F62" s="13" t="s">
        <v>50</v>
      </c>
      <c r="G62" s="15" t="s">
        <v>78</v>
      </c>
      <c r="H62" s="21" t="s">
        <v>92</v>
      </c>
      <c r="I62" s="15" t="s">
        <v>91</v>
      </c>
      <c r="J62" s="16" t="s">
        <v>34</v>
      </c>
      <c r="K62" s="17" t="n">
        <v>113</v>
      </c>
      <c r="L62" s="21"/>
    </row>
    <row r="63" customFormat="false" ht="15" hidden="false" customHeight="false" outlineLevel="0" collapsed="false">
      <c r="A63" s="11" t="s">
        <v>76</v>
      </c>
      <c r="B63" s="12"/>
      <c r="C63" s="13" t="n">
        <v>13</v>
      </c>
      <c r="D63" s="14" t="n">
        <v>46279</v>
      </c>
      <c r="E63" s="13" t="str">
        <f aca="false">MID("日月火水木金土",WEEKDAY(D63),1)</f>
        <v>月</v>
      </c>
      <c r="F63" s="13" t="s">
        <v>42</v>
      </c>
      <c r="G63" s="15" t="s">
        <v>78</v>
      </c>
      <c r="H63" s="15" t="s">
        <v>93</v>
      </c>
      <c r="I63" s="15" t="s">
        <v>91</v>
      </c>
      <c r="J63" s="16" t="s">
        <v>34</v>
      </c>
      <c r="K63" s="17" t="n">
        <v>113</v>
      </c>
      <c r="L63" s="21"/>
    </row>
    <row r="64" customFormat="false" ht="15" hidden="false" customHeight="false" outlineLevel="0" collapsed="false">
      <c r="A64" s="11" t="s">
        <v>76</v>
      </c>
      <c r="B64" s="12"/>
      <c r="C64" s="13" t="n">
        <v>14</v>
      </c>
      <c r="D64" s="14" t="n">
        <v>46279</v>
      </c>
      <c r="E64" s="13" t="str">
        <f aca="false">MID("日月火水木金土",WEEKDAY(D64),1)</f>
        <v>月</v>
      </c>
      <c r="F64" s="13" t="s">
        <v>48</v>
      </c>
      <c r="G64" s="15" t="s">
        <v>87</v>
      </c>
      <c r="H64" s="21" t="s">
        <v>94</v>
      </c>
      <c r="I64" s="15" t="s">
        <v>95</v>
      </c>
      <c r="J64" s="16" t="s">
        <v>34</v>
      </c>
      <c r="K64" s="17" t="n">
        <v>113</v>
      </c>
      <c r="L64" s="21"/>
    </row>
    <row r="65" customFormat="false" ht="15" hidden="false" customHeight="false" outlineLevel="0" collapsed="false">
      <c r="A65" s="11" t="s">
        <v>76</v>
      </c>
      <c r="B65" s="12"/>
      <c r="C65" s="13" t="n">
        <v>15</v>
      </c>
      <c r="D65" s="14" t="n">
        <v>46280</v>
      </c>
      <c r="E65" s="13" t="str">
        <f aca="false">MID("日月火水木金土",WEEKDAY(D65),1)</f>
        <v>火</v>
      </c>
      <c r="F65" s="13" t="s">
        <v>57</v>
      </c>
      <c r="G65" s="15" t="s">
        <v>87</v>
      </c>
      <c r="H65" s="21" t="s">
        <v>96</v>
      </c>
      <c r="I65" s="21"/>
      <c r="J65" s="16" t="s">
        <v>34</v>
      </c>
      <c r="K65" s="17" t="n">
        <v>114</v>
      </c>
      <c r="L65" s="21"/>
    </row>
    <row r="66" customFormat="false" ht="15" hidden="false" customHeight="false" outlineLevel="0" collapsed="false">
      <c r="A66" s="11" t="s">
        <v>76</v>
      </c>
      <c r="B66" s="12"/>
      <c r="C66" s="13" t="n">
        <v>16</v>
      </c>
      <c r="D66" s="14" t="n">
        <v>46280</v>
      </c>
      <c r="E66" s="13" t="str">
        <f aca="false">MID("日月火水木金土",WEEKDAY(D66),1)</f>
        <v>火</v>
      </c>
      <c r="F66" s="13" t="s">
        <v>53</v>
      </c>
      <c r="G66" s="15" t="s">
        <v>87</v>
      </c>
      <c r="H66" s="21" t="s">
        <v>97</v>
      </c>
      <c r="I66" s="21"/>
      <c r="J66" s="16" t="s">
        <v>34</v>
      </c>
      <c r="K66" s="17" t="n">
        <v>114</v>
      </c>
      <c r="L66" s="21"/>
    </row>
    <row r="67" customFormat="false" ht="15" hidden="false" customHeight="false" outlineLevel="0" collapsed="false">
      <c r="A67" s="11" t="s">
        <v>76</v>
      </c>
      <c r="B67" s="12"/>
      <c r="C67" s="13" t="n">
        <v>17</v>
      </c>
      <c r="D67" s="14" t="n">
        <v>46280</v>
      </c>
      <c r="E67" s="13" t="str">
        <f aca="false">MID("日月火水木金土",WEEKDAY(D67),1)</f>
        <v>火</v>
      </c>
      <c r="F67" s="13" t="s">
        <v>42</v>
      </c>
      <c r="G67" s="15" t="s">
        <v>80</v>
      </c>
      <c r="H67" s="15" t="s">
        <v>98</v>
      </c>
      <c r="I67" s="21"/>
      <c r="J67" s="16" t="s">
        <v>39</v>
      </c>
      <c r="K67" s="17" t="n">
        <v>114</v>
      </c>
      <c r="L67" s="21"/>
    </row>
    <row r="68" customFormat="false" ht="15" hidden="false" customHeight="false" outlineLevel="0" collapsed="false">
      <c r="A68" s="11" t="s">
        <v>76</v>
      </c>
      <c r="B68" s="12"/>
      <c r="C68" s="13" t="n">
        <v>18</v>
      </c>
      <c r="D68" s="14" t="n">
        <v>46280</v>
      </c>
      <c r="E68" s="13" t="str">
        <f aca="false">MID("日月火水木金土",WEEKDAY(D68),1)</f>
        <v>火</v>
      </c>
      <c r="F68" s="13" t="s">
        <v>99</v>
      </c>
      <c r="G68" s="15" t="s">
        <v>80</v>
      </c>
      <c r="H68" s="15" t="s">
        <v>100</v>
      </c>
      <c r="I68" s="21"/>
      <c r="J68" s="16" t="s">
        <v>39</v>
      </c>
      <c r="K68" s="17" t="n">
        <v>114</v>
      </c>
      <c r="L68" s="21"/>
    </row>
    <row r="69" customFormat="false" ht="15" hidden="false" customHeight="false" outlineLevel="0" collapsed="false">
      <c r="A69" s="11" t="s">
        <v>76</v>
      </c>
      <c r="B69" s="12"/>
      <c r="C69" s="13" t="n">
        <v>19</v>
      </c>
      <c r="D69" s="14" t="n">
        <v>46281</v>
      </c>
      <c r="E69" s="13" t="str">
        <f aca="false">MID("日月火水木金土",WEEKDAY(D69),1)</f>
        <v>水</v>
      </c>
      <c r="F69" s="13" t="s">
        <v>77</v>
      </c>
      <c r="G69" s="15" t="s">
        <v>78</v>
      </c>
      <c r="H69" s="15" t="s">
        <v>101</v>
      </c>
      <c r="I69" s="21"/>
      <c r="J69" s="16" t="s">
        <v>34</v>
      </c>
      <c r="K69" s="17" t="n">
        <v>115</v>
      </c>
      <c r="L69" s="21"/>
    </row>
    <row r="70" customFormat="false" ht="15" hidden="false" customHeight="false" outlineLevel="0" collapsed="false">
      <c r="A70" s="11" t="s">
        <v>76</v>
      </c>
      <c r="B70" s="12"/>
      <c r="C70" s="13" t="n">
        <v>20</v>
      </c>
      <c r="D70" s="14" t="n">
        <v>46281</v>
      </c>
      <c r="E70" s="13" t="str">
        <f aca="false">MID("日月火水木金土",WEEKDAY(D70),1)</f>
        <v>水</v>
      </c>
      <c r="F70" s="13" t="s">
        <v>46</v>
      </c>
      <c r="G70" s="15" t="s">
        <v>87</v>
      </c>
      <c r="H70" s="15" t="s">
        <v>102</v>
      </c>
      <c r="I70" s="21"/>
      <c r="J70" s="16" t="s">
        <v>34</v>
      </c>
      <c r="K70" s="17" t="n">
        <v>115</v>
      </c>
      <c r="L70" s="21"/>
    </row>
    <row r="71" customFormat="false" ht="15" hidden="false" customHeight="false" outlineLevel="0" collapsed="false">
      <c r="A71" s="11" t="s">
        <v>76</v>
      </c>
      <c r="B71" s="12"/>
      <c r="C71" s="13" t="n">
        <v>21</v>
      </c>
      <c r="D71" s="14" t="n">
        <v>46281</v>
      </c>
      <c r="E71" s="13" t="str">
        <f aca="false">MID("日月火水木金土",WEEKDAY(D71),1)</f>
        <v>水</v>
      </c>
      <c r="F71" s="13" t="s">
        <v>42</v>
      </c>
      <c r="G71" s="15" t="s">
        <v>80</v>
      </c>
      <c r="H71" s="15" t="s">
        <v>100</v>
      </c>
      <c r="I71" s="21"/>
      <c r="J71" s="16" t="s">
        <v>39</v>
      </c>
      <c r="K71" s="17" t="n">
        <v>115</v>
      </c>
      <c r="L71" s="21"/>
    </row>
    <row r="72" customFormat="false" ht="15" hidden="false" customHeight="false" outlineLevel="0" collapsed="false">
      <c r="A72" s="11" t="s">
        <v>76</v>
      </c>
      <c r="B72" s="12"/>
      <c r="C72" s="13" t="n">
        <v>22</v>
      </c>
      <c r="D72" s="14" t="n">
        <v>46293</v>
      </c>
      <c r="E72" s="13" t="str">
        <f aca="false">MID("日月火水木金土",WEEKDAY(D72),1)</f>
        <v>月</v>
      </c>
      <c r="F72" s="13" t="s">
        <v>50</v>
      </c>
      <c r="G72" s="15" t="s">
        <v>31</v>
      </c>
      <c r="H72" s="15" t="s">
        <v>103</v>
      </c>
      <c r="I72" s="21"/>
      <c r="J72" s="16" t="s">
        <v>34</v>
      </c>
      <c r="K72" s="17" t="n">
        <v>120</v>
      </c>
      <c r="L72" s="21"/>
    </row>
    <row r="73" customFormat="false" ht="30" hidden="false" customHeight="true" outlineLevel="0" collapsed="false">
      <c r="A73" s="6" t="s">
        <v>104</v>
      </c>
      <c r="B73" s="7" t="str">
        <f aca="false">INDEX(条文マスタ!$C$5:$C$24,MATCH($A73,条文マスタ!$A$5:$A$24,0))</f>
        <v>立会</v>
      </c>
      <c r="C73" s="7"/>
      <c r="D73" s="7"/>
      <c r="E73" s="7"/>
      <c r="F73" s="7"/>
      <c r="G73" s="8" t="str">
        <f aca="false">INDEX(条文マスタ!$D$5:$D$24,MATCH($A73,条文マスタ!$A$5:$A$24,0))</f>
        <v>設計図書に基づき立会いを行った場合は、その結果を書面で監督職員に報告する。</v>
      </c>
      <c r="H73" s="8"/>
      <c r="I73" s="9" t="str">
        <f aca="false">COUNT($C$74:$C$78)&amp;"件"</f>
        <v>5件</v>
      </c>
      <c r="J73" s="6" t="s">
        <v>22</v>
      </c>
      <c r="K73" s="6" t="str">
        <f aca="false">IF(COUNT($C$74:$C$78)=0,0,SUMPRODUCT(($C$74:$C$78&lt;&gt;"")/COUNTIFS($D$74:$D$78,$D$74:$D$78&amp;"")))&amp;"日"</f>
        <v>3日</v>
      </c>
      <c r="L73" s="10"/>
    </row>
    <row r="74" customFormat="false" ht="15" hidden="false" customHeight="false" outlineLevel="0" collapsed="false">
      <c r="A74" s="11" t="s">
        <v>105</v>
      </c>
      <c r="B74" s="12"/>
      <c r="C74" s="13" t="n">
        <v>1</v>
      </c>
      <c r="D74" s="14" t="n">
        <v>46268</v>
      </c>
      <c r="E74" s="13" t="str">
        <f aca="false">MID("日月火水木金土",WEEKDAY(D74),1)</f>
        <v>木</v>
      </c>
      <c r="F74" s="13" t="s">
        <v>53</v>
      </c>
      <c r="G74" s="15" t="s">
        <v>78</v>
      </c>
      <c r="H74" s="15" t="s">
        <v>106</v>
      </c>
      <c r="I74" s="15" t="s">
        <v>91</v>
      </c>
      <c r="J74" s="16" t="s">
        <v>34</v>
      </c>
      <c r="K74" s="17" t="n">
        <v>106</v>
      </c>
      <c r="L74" s="21"/>
    </row>
    <row r="75" customFormat="false" ht="15" hidden="false" customHeight="false" outlineLevel="0" collapsed="false">
      <c r="A75" s="11" t="s">
        <v>105</v>
      </c>
      <c r="B75" s="12"/>
      <c r="C75" s="13" t="n">
        <v>2</v>
      </c>
      <c r="D75" s="14" t="n">
        <v>46268</v>
      </c>
      <c r="E75" s="13" t="str">
        <f aca="false">MID("日月火水木金土",WEEKDAY(D75),1)</f>
        <v>木</v>
      </c>
      <c r="F75" s="13" t="s">
        <v>107</v>
      </c>
      <c r="G75" s="15" t="s">
        <v>78</v>
      </c>
      <c r="H75" s="15" t="s">
        <v>108</v>
      </c>
      <c r="I75" s="21"/>
      <c r="J75" s="16" t="s">
        <v>34</v>
      </c>
      <c r="K75" s="17" t="n">
        <v>106</v>
      </c>
      <c r="L75" s="21"/>
    </row>
    <row r="76" customFormat="false" ht="15" hidden="false" customHeight="false" outlineLevel="0" collapsed="false">
      <c r="A76" s="11" t="s">
        <v>105</v>
      </c>
      <c r="B76" s="12"/>
      <c r="C76" s="13" t="n">
        <v>3</v>
      </c>
      <c r="D76" s="14" t="n">
        <v>46272</v>
      </c>
      <c r="E76" s="13" t="str">
        <f aca="false">MID("日月火水木金土",WEEKDAY(D76),1)</f>
        <v>月</v>
      </c>
      <c r="F76" s="13" t="s">
        <v>50</v>
      </c>
      <c r="G76" s="15" t="s">
        <v>78</v>
      </c>
      <c r="H76" s="15" t="s">
        <v>109</v>
      </c>
      <c r="I76" s="21"/>
      <c r="J76" s="16" t="s">
        <v>34</v>
      </c>
      <c r="K76" s="17" t="n">
        <v>108</v>
      </c>
      <c r="L76" s="21"/>
    </row>
    <row r="77" customFormat="false" ht="15" hidden="false" customHeight="false" outlineLevel="0" collapsed="false">
      <c r="A77" s="11" t="s">
        <v>105</v>
      </c>
      <c r="B77" s="12"/>
      <c r="C77" s="13" t="n">
        <v>4</v>
      </c>
      <c r="D77" s="14" t="n">
        <v>46273</v>
      </c>
      <c r="E77" s="13" t="str">
        <f aca="false">MID("日月火水木金土",WEEKDAY(D77),1)</f>
        <v>火</v>
      </c>
      <c r="F77" s="13" t="s">
        <v>50</v>
      </c>
      <c r="G77" s="15" t="s">
        <v>78</v>
      </c>
      <c r="H77" s="15" t="s">
        <v>110</v>
      </c>
      <c r="I77" s="21"/>
      <c r="J77" s="16" t="s">
        <v>34</v>
      </c>
      <c r="K77" s="17" t="n">
        <v>109</v>
      </c>
      <c r="L77" s="21"/>
    </row>
    <row r="78" customFormat="false" ht="15" hidden="false" customHeight="false" outlineLevel="0" collapsed="false">
      <c r="A78" s="11" t="s">
        <v>105</v>
      </c>
      <c r="B78" s="12"/>
      <c r="C78" s="13" t="n">
        <v>5</v>
      </c>
      <c r="D78" s="14" t="n">
        <v>46273</v>
      </c>
      <c r="E78" s="13" t="str">
        <f aca="false">MID("日月火水木金土",WEEKDAY(D78),1)</f>
        <v>火</v>
      </c>
      <c r="F78" s="13" t="s">
        <v>57</v>
      </c>
      <c r="G78" s="15" t="s">
        <v>78</v>
      </c>
      <c r="H78" s="15" t="s">
        <v>111</v>
      </c>
      <c r="I78" s="21"/>
      <c r="J78" s="16" t="s">
        <v>34</v>
      </c>
      <c r="K78" s="17" t="n">
        <v>109</v>
      </c>
      <c r="L78" s="21"/>
    </row>
    <row r="79" customFormat="false" ht="30" hidden="false" customHeight="true" outlineLevel="0" collapsed="false">
      <c r="A79" s="6" t="s">
        <v>112</v>
      </c>
      <c r="B79" s="7" t="str">
        <f aca="false">INDEX(条文マスタ!$C$5:$C$24,MATCH($A79,条文マスタ!$A$5:$A$24,0))</f>
        <v>検測</v>
      </c>
      <c r="C79" s="7"/>
      <c r="D79" s="7"/>
      <c r="E79" s="7"/>
      <c r="F79" s="7"/>
      <c r="G79" s="8" t="str">
        <f aca="false">INDEX(条文マスタ!$D$5:$D$24,MATCH($A79,条文マスタ!$A$5:$A$24,0))</f>
        <v>請負工事の施工が設計図書に示す所定の出来形及び品質を確保するため現地で検測を行い、その成果を監督職員に提出する。</v>
      </c>
      <c r="H79" s="8"/>
      <c r="I79" s="9" t="str">
        <f aca="false">COUNT($C$80:$C$80)&amp;"件"</f>
        <v>0件</v>
      </c>
      <c r="J79" s="6" t="s">
        <v>22</v>
      </c>
      <c r="K79" s="6" t="str">
        <f aca="false">IF(COUNT($C$80:$C$80)=0,0,SUMPRODUCT(($C$80:$C$80&lt;&gt;"")/COUNTIFS($D$80:$D$80,$D$80:$D$80&amp;"")))&amp;"日"</f>
        <v>0日</v>
      </c>
      <c r="L79" s="10"/>
    </row>
    <row r="80" customFormat="false" ht="15" hidden="false" customHeight="false" outlineLevel="0" collapsed="false">
      <c r="A80" s="18" t="s">
        <v>113</v>
      </c>
      <c r="B80" s="19"/>
      <c r="C80" s="19"/>
      <c r="D80" s="19"/>
      <c r="E80" s="19"/>
      <c r="F80" s="19"/>
      <c r="G80" s="19"/>
      <c r="H80" s="20" t="s">
        <v>62</v>
      </c>
      <c r="I80" s="20"/>
      <c r="J80" s="20"/>
      <c r="K80" s="20"/>
      <c r="L80" s="20"/>
    </row>
    <row r="81" customFormat="false" ht="30" hidden="false" customHeight="true" outlineLevel="0" collapsed="false">
      <c r="A81" s="6" t="s">
        <v>114</v>
      </c>
      <c r="B81" s="7" t="str">
        <f aca="false">INDEX(条文マスタ!$C$5:$C$24,MATCH($A81,条文マスタ!$A$5:$A$24,0))</f>
        <v>材料検査</v>
      </c>
      <c r="C81" s="7"/>
      <c r="D81" s="7"/>
      <c r="E81" s="7"/>
      <c r="F81" s="7"/>
      <c r="G81" s="8" t="str">
        <f aca="false">INDEX(条文マスタ!$D$5:$D$24,MATCH($A81,条文マスタ!$A$5:$A$24,0))</f>
        <v>材料検査を実施したときは、検査年月日・品名・寸法等・検査数量・検査結果及び合格数量等を付記して監督職員に提出する。</v>
      </c>
      <c r="H81" s="8"/>
      <c r="I81" s="9" t="str">
        <f aca="false">COUNT($C$82:$C$82)&amp;"件"</f>
        <v>0件</v>
      </c>
      <c r="J81" s="6" t="s">
        <v>22</v>
      </c>
      <c r="K81" s="6" t="str">
        <f aca="false">IF(COUNT($C$82:$C$82)=0,0,SUMPRODUCT(($C$82:$C$82&lt;&gt;"")/COUNTIFS($D$82:$D$82,$D$82:$D$82&amp;"")))&amp;"日"</f>
        <v>0日</v>
      </c>
      <c r="L81" s="10"/>
    </row>
    <row r="82" customFormat="false" ht="15" hidden="false" customHeight="false" outlineLevel="0" collapsed="false">
      <c r="A82" s="18" t="s">
        <v>115</v>
      </c>
      <c r="B82" s="19"/>
      <c r="C82" s="19"/>
      <c r="D82" s="19"/>
      <c r="E82" s="19"/>
      <c r="F82" s="19"/>
      <c r="G82" s="19"/>
      <c r="H82" s="20" t="s">
        <v>62</v>
      </c>
      <c r="I82" s="20"/>
      <c r="J82" s="20"/>
      <c r="K82" s="20"/>
      <c r="L82" s="20"/>
    </row>
    <row r="83" customFormat="false" ht="30" hidden="false" customHeight="true" outlineLevel="0" collapsed="false">
      <c r="A83" s="6" t="s">
        <v>116</v>
      </c>
      <c r="B83" s="7" t="str">
        <f aca="false">INDEX(条文マスタ!$C$5:$C$24,MATCH($A83,条文マスタ!$A$5:$A$24,0))</f>
        <v>工程管理</v>
      </c>
      <c r="C83" s="7"/>
      <c r="D83" s="7"/>
      <c r="E83" s="7"/>
      <c r="F83" s="7"/>
      <c r="G83" s="8" t="str">
        <f aca="false">INDEX(条文マスタ!$D$5:$D$24,MATCH($A83,条文マスタ!$A$5:$A$24,0))</f>
        <v>請負工事の進捗状況を把握し、工事が遅延するおそれがあれば遅滞なく書面で監督職員に報告する。</v>
      </c>
      <c r="H83" s="8"/>
      <c r="I83" s="9" t="str">
        <f aca="false">COUNT($C$84:$C$84)&amp;"件"</f>
        <v>0件</v>
      </c>
      <c r="J83" s="6" t="s">
        <v>22</v>
      </c>
      <c r="K83" s="6" t="str">
        <f aca="false">IF(COUNT($C$84:$C$84)=0,0,SUMPRODUCT(($C$84:$C$84&lt;&gt;"")/COUNTIFS($D$84:$D$84,$D$84:$D$84&amp;"")))&amp;"日"</f>
        <v>0日</v>
      </c>
      <c r="L83" s="10"/>
    </row>
    <row r="84" customFormat="false" ht="15" hidden="false" customHeight="false" outlineLevel="0" collapsed="false">
      <c r="A84" s="18" t="s">
        <v>117</v>
      </c>
      <c r="B84" s="19"/>
      <c r="C84" s="19"/>
      <c r="D84" s="19"/>
      <c r="E84" s="19"/>
      <c r="F84" s="19"/>
      <c r="G84" s="19"/>
      <c r="H84" s="20" t="s">
        <v>62</v>
      </c>
      <c r="I84" s="20"/>
      <c r="J84" s="20"/>
      <c r="K84" s="20"/>
      <c r="L84" s="20"/>
    </row>
    <row r="85" customFormat="false" ht="30" hidden="false" customHeight="true" outlineLevel="0" collapsed="false">
      <c r="A85" s="6" t="s">
        <v>118</v>
      </c>
      <c r="B85" s="7" t="str">
        <f aca="false">INDEX(条文マスタ!$C$5:$C$24,MATCH($A85,条文マスタ!$A$5:$A$24,0))</f>
        <v>品質管理</v>
      </c>
      <c r="C85" s="7"/>
      <c r="D85" s="7"/>
      <c r="E85" s="7"/>
      <c r="F85" s="7"/>
      <c r="G85" s="8" t="str">
        <f aca="false">INDEX(条文マスタ!$D$5:$D$24,MATCH($A85,条文マスタ!$A$5:$A$24,0))</f>
        <v>工事受注者が仕様書に定められた品質管理試験を忠実に実行しているか確認し、その結果を書面で報告する。</v>
      </c>
      <c r="H85" s="8"/>
      <c r="I85" s="9" t="str">
        <f aca="false">COUNT($C$86:$C$86)&amp;"件"</f>
        <v>0件</v>
      </c>
      <c r="J85" s="6" t="s">
        <v>22</v>
      </c>
      <c r="K85" s="6" t="str">
        <f aca="false">IF(COUNT($C$86:$C$86)=0,0,SUMPRODUCT(($C$86:$C$86&lt;&gt;"")/COUNTIFS($D$86:$D$86,$D$86:$D$86&amp;"")))&amp;"日"</f>
        <v>0日</v>
      </c>
      <c r="L85" s="10"/>
    </row>
    <row r="86" customFormat="false" ht="15" hidden="false" customHeight="false" outlineLevel="0" collapsed="false">
      <c r="A86" s="18" t="s">
        <v>119</v>
      </c>
      <c r="B86" s="19"/>
      <c r="C86" s="19"/>
      <c r="D86" s="19"/>
      <c r="E86" s="19"/>
      <c r="F86" s="19"/>
      <c r="G86" s="19"/>
      <c r="H86" s="20" t="s">
        <v>62</v>
      </c>
      <c r="I86" s="20"/>
      <c r="J86" s="20"/>
      <c r="K86" s="20"/>
      <c r="L86" s="20"/>
    </row>
    <row r="87" customFormat="false" ht="30" hidden="false" customHeight="true" outlineLevel="0" collapsed="false">
      <c r="A87" s="6" t="s">
        <v>120</v>
      </c>
      <c r="B87" s="7" t="str">
        <f aca="false">INDEX(条文マスタ!$C$5:$C$24,MATCH($A87,条文マスタ!$A$5:$A$24,0))</f>
        <v>図面と現地の不一致等</v>
      </c>
      <c r="C87" s="7"/>
      <c r="D87" s="7"/>
      <c r="E87" s="7"/>
      <c r="F87" s="7"/>
      <c r="G87" s="8" t="str">
        <f aca="false">INDEX(条文マスタ!$D$5:$D$24,MATCH($A87,条文マスタ!$A$5:$A$24,0))</f>
        <v>設計図書と工事現場の状態の不一致等の通知を受けたときは、遅滞なく書面で監督職員に報告する。</v>
      </c>
      <c r="H87" s="8"/>
      <c r="I87" s="9" t="str">
        <f aca="false">COUNT($C$88:$C$88)&amp;"件"</f>
        <v>0件</v>
      </c>
      <c r="J87" s="6" t="s">
        <v>22</v>
      </c>
      <c r="K87" s="6" t="str">
        <f aca="false">IF(COUNT($C$88:$C$88)=0,0,SUMPRODUCT(($C$88:$C$88&lt;&gt;"")/COUNTIFS($D$88:$D$88,$D$88:$D$88&amp;"")))&amp;"日"</f>
        <v>0日</v>
      </c>
      <c r="L87" s="10"/>
    </row>
    <row r="88" customFormat="false" ht="15" hidden="false" customHeight="false" outlineLevel="0" collapsed="false">
      <c r="A88" s="18" t="s">
        <v>121</v>
      </c>
      <c r="B88" s="19"/>
      <c r="C88" s="19"/>
      <c r="D88" s="19"/>
      <c r="E88" s="19"/>
      <c r="F88" s="19"/>
      <c r="G88" s="19"/>
      <c r="H88" s="20" t="s">
        <v>62</v>
      </c>
      <c r="I88" s="20"/>
      <c r="J88" s="20"/>
      <c r="K88" s="20"/>
      <c r="L88" s="20"/>
    </row>
    <row r="89" customFormat="false" ht="30" hidden="false" customHeight="true" outlineLevel="0" collapsed="false">
      <c r="A89" s="6" t="s">
        <v>122</v>
      </c>
      <c r="B89" s="7" t="str">
        <f aca="false">INDEX(条文マスタ!$C$5:$C$24,MATCH($A89,条文マスタ!$A$5:$A$24,0))</f>
        <v>検査の立会</v>
      </c>
      <c r="C89" s="7"/>
      <c r="D89" s="7"/>
      <c r="E89" s="7"/>
      <c r="F89" s="7"/>
      <c r="G89" s="8" t="str">
        <f aca="false">INDEX(条文マスタ!$D$5:$D$24,MATCH($A89,条文マスタ!$A$5:$A$24,0))</f>
        <v>請負工事に係る工事検査及び監督職員が行う検査に立会い、求められる説明に応じる。</v>
      </c>
      <c r="H89" s="8"/>
      <c r="I89" s="9" t="str">
        <f aca="false">COUNT($C$90:$C$95)&amp;"件"</f>
        <v>6件</v>
      </c>
      <c r="J89" s="6" t="s">
        <v>22</v>
      </c>
      <c r="K89" s="6" t="str">
        <f aca="false">IF(COUNT($C$90:$C$95)=0,0,SUMPRODUCT(($C$90:$C$95&lt;&gt;"")/COUNTIFS($D$90:$D$95,$D$90:$D$95&amp;"")))&amp;"日"</f>
        <v>4日</v>
      </c>
      <c r="L89" s="10"/>
    </row>
    <row r="90" customFormat="false" ht="15" hidden="false" customHeight="false" outlineLevel="0" collapsed="false">
      <c r="A90" s="11" t="s">
        <v>123</v>
      </c>
      <c r="B90" s="12"/>
      <c r="C90" s="13" t="n">
        <v>1</v>
      </c>
      <c r="D90" s="14" t="n">
        <v>46274</v>
      </c>
      <c r="E90" s="13" t="str">
        <f aca="false">MID("日月火水木金土",WEEKDAY(D90),1)</f>
        <v>水</v>
      </c>
      <c r="F90" s="13" t="s">
        <v>53</v>
      </c>
      <c r="G90" s="15" t="s">
        <v>87</v>
      </c>
      <c r="H90" s="15" t="s">
        <v>124</v>
      </c>
      <c r="I90" s="15" t="s">
        <v>95</v>
      </c>
      <c r="J90" s="16" t="s">
        <v>34</v>
      </c>
      <c r="K90" s="17" t="n">
        <v>110</v>
      </c>
      <c r="L90" s="21"/>
    </row>
    <row r="91" customFormat="false" ht="15" hidden="false" customHeight="false" outlineLevel="0" collapsed="false">
      <c r="A91" s="11" t="s">
        <v>123</v>
      </c>
      <c r="B91" s="12"/>
      <c r="C91" s="13" t="n">
        <v>2</v>
      </c>
      <c r="D91" s="14" t="n">
        <v>46282</v>
      </c>
      <c r="E91" s="13" t="str">
        <f aca="false">MID("日月火水木金土",WEEKDAY(D91),1)</f>
        <v>木</v>
      </c>
      <c r="F91" s="13" t="s">
        <v>50</v>
      </c>
      <c r="G91" s="15" t="s">
        <v>87</v>
      </c>
      <c r="H91" s="15" t="s">
        <v>125</v>
      </c>
      <c r="I91" s="15" t="s">
        <v>126</v>
      </c>
      <c r="J91" s="16" t="s">
        <v>34</v>
      </c>
      <c r="K91" s="17" t="n">
        <v>116</v>
      </c>
      <c r="L91" s="21"/>
    </row>
    <row r="92" customFormat="false" ht="15" hidden="false" customHeight="false" outlineLevel="0" collapsed="false">
      <c r="A92" s="11" t="s">
        <v>123</v>
      </c>
      <c r="B92" s="12"/>
      <c r="C92" s="13" t="n">
        <v>3</v>
      </c>
      <c r="D92" s="14" t="n">
        <v>46282</v>
      </c>
      <c r="E92" s="13" t="str">
        <f aca="false">MID("日月火水木金土",WEEKDAY(D92),1)</f>
        <v>木</v>
      </c>
      <c r="F92" s="13" t="s">
        <v>42</v>
      </c>
      <c r="G92" s="15" t="s">
        <v>87</v>
      </c>
      <c r="H92" s="15" t="s">
        <v>127</v>
      </c>
      <c r="I92" s="15" t="s">
        <v>126</v>
      </c>
      <c r="J92" s="16" t="s">
        <v>34</v>
      </c>
      <c r="K92" s="17" t="n">
        <v>116</v>
      </c>
      <c r="L92" s="21"/>
    </row>
    <row r="93" customFormat="false" ht="15" hidden="false" customHeight="false" outlineLevel="0" collapsed="false">
      <c r="A93" s="11" t="s">
        <v>123</v>
      </c>
      <c r="B93" s="12"/>
      <c r="C93" s="13" t="n">
        <v>4</v>
      </c>
      <c r="D93" s="14" t="n">
        <v>46293</v>
      </c>
      <c r="E93" s="13" t="str">
        <f aca="false">MID("日月火水木金土",WEEKDAY(D93),1)</f>
        <v>月</v>
      </c>
      <c r="F93" s="13" t="s">
        <v>46</v>
      </c>
      <c r="G93" s="15" t="s">
        <v>80</v>
      </c>
      <c r="H93" s="15" t="s">
        <v>128</v>
      </c>
      <c r="I93" s="21"/>
      <c r="J93" s="16" t="s">
        <v>39</v>
      </c>
      <c r="K93" s="17" t="n">
        <v>120</v>
      </c>
      <c r="L93" s="21"/>
    </row>
    <row r="94" customFormat="false" ht="15" hidden="false" customHeight="false" outlineLevel="0" collapsed="false">
      <c r="A94" s="11" t="s">
        <v>123</v>
      </c>
      <c r="B94" s="12"/>
      <c r="C94" s="13" t="n">
        <v>5</v>
      </c>
      <c r="D94" s="14" t="n">
        <v>46294</v>
      </c>
      <c r="E94" s="13" t="str">
        <f aca="false">MID("日月火水木金土",WEEKDAY(D94),1)</f>
        <v>火</v>
      </c>
      <c r="F94" s="13" t="s">
        <v>30</v>
      </c>
      <c r="G94" s="15" t="s">
        <v>80</v>
      </c>
      <c r="H94" s="15" t="s">
        <v>125</v>
      </c>
      <c r="I94" s="15" t="s">
        <v>129</v>
      </c>
      <c r="J94" s="16" t="s">
        <v>39</v>
      </c>
      <c r="K94" s="17" t="n">
        <v>121</v>
      </c>
      <c r="L94" s="21"/>
    </row>
    <row r="95" customFormat="false" ht="15" hidden="false" customHeight="false" outlineLevel="0" collapsed="false">
      <c r="A95" s="11" t="s">
        <v>123</v>
      </c>
      <c r="B95" s="12"/>
      <c r="C95" s="13" t="n">
        <v>6</v>
      </c>
      <c r="D95" s="14" t="n">
        <v>46294</v>
      </c>
      <c r="E95" s="13" t="str">
        <f aca="false">MID("日月火水木金土",WEEKDAY(D95),1)</f>
        <v>火</v>
      </c>
      <c r="F95" s="13" t="s">
        <v>42</v>
      </c>
      <c r="G95" s="15" t="s">
        <v>80</v>
      </c>
      <c r="H95" s="15" t="s">
        <v>130</v>
      </c>
      <c r="I95" s="15" t="s">
        <v>129</v>
      </c>
      <c r="J95" s="16" t="s">
        <v>39</v>
      </c>
      <c r="K95" s="17" t="n">
        <v>121</v>
      </c>
      <c r="L95" s="21"/>
    </row>
    <row r="96" customFormat="false" ht="30" hidden="false" customHeight="true" outlineLevel="0" collapsed="false">
      <c r="A96" s="6" t="s">
        <v>131</v>
      </c>
      <c r="B96" s="7" t="str">
        <f aca="false">INDEX(条文マスタ!$C$5:$C$24,MATCH($A96,条文マスタ!$A$5:$A$24,0))</f>
        <v>設計変更工事検査等に関する図書</v>
      </c>
      <c r="C96" s="7"/>
      <c r="D96" s="7"/>
      <c r="E96" s="7"/>
      <c r="F96" s="7"/>
      <c r="G96" s="8" t="str">
        <f aca="false">INDEX(条文マスタ!$D$5:$D$24,MATCH($A96,条文マスタ!$A$5:$A$24,0))</f>
        <v>監督職員と協議のうえ、設計変更、工事完成検査若しくは既済部分検査等に必要な測量、測定又は図書等の資料作成を行う。</v>
      </c>
      <c r="H96" s="8"/>
      <c r="I96" s="9" t="str">
        <f aca="false">COUNT($C$97:$C$119)&amp;"件"</f>
        <v>23件</v>
      </c>
      <c r="J96" s="6" t="s">
        <v>22</v>
      </c>
      <c r="K96" s="6" t="str">
        <f aca="false">IF(COUNT($C$97:$C$119)=0,0,SUMPRODUCT(($C$97:$C$119&lt;&gt;"")/COUNTIFS($D$97:$D$119,$D$97:$D$119&amp;"")))&amp;"日"</f>
        <v>12日</v>
      </c>
      <c r="L96" s="10"/>
    </row>
    <row r="97" customFormat="false" ht="15" hidden="false" customHeight="false" outlineLevel="0" collapsed="false">
      <c r="A97" s="11" t="s">
        <v>132</v>
      </c>
      <c r="B97" s="12"/>
      <c r="C97" s="13" t="n">
        <v>1</v>
      </c>
      <c r="D97" s="14" t="n">
        <v>46266</v>
      </c>
      <c r="E97" s="13" t="str">
        <f aca="false">MID("日月火水木金土",WEEKDAY(D97),1)</f>
        <v>火</v>
      </c>
      <c r="F97" s="13" t="s">
        <v>57</v>
      </c>
      <c r="G97" s="15" t="s">
        <v>87</v>
      </c>
      <c r="H97" s="15" t="s">
        <v>133</v>
      </c>
      <c r="I97" s="21"/>
      <c r="J97" s="16" t="s">
        <v>34</v>
      </c>
      <c r="K97" s="17" t="n">
        <v>104</v>
      </c>
      <c r="L97" s="21"/>
    </row>
    <row r="98" customFormat="false" ht="15" hidden="false" customHeight="false" outlineLevel="0" collapsed="false">
      <c r="A98" s="11" t="s">
        <v>132</v>
      </c>
      <c r="B98" s="12"/>
      <c r="C98" s="13" t="n">
        <v>2</v>
      </c>
      <c r="D98" s="14" t="n">
        <v>46267</v>
      </c>
      <c r="E98" s="13" t="str">
        <f aca="false">MID("日月火水木金土",WEEKDAY(D98),1)</f>
        <v>水</v>
      </c>
      <c r="F98" s="13" t="s">
        <v>53</v>
      </c>
      <c r="G98" s="15" t="s">
        <v>80</v>
      </c>
      <c r="H98" s="15" t="s">
        <v>134</v>
      </c>
      <c r="I98" s="21"/>
      <c r="J98" s="16" t="s">
        <v>39</v>
      </c>
      <c r="K98" s="17" t="n">
        <v>105</v>
      </c>
      <c r="L98" s="21"/>
    </row>
    <row r="99" customFormat="false" ht="15" hidden="false" customHeight="false" outlineLevel="0" collapsed="false">
      <c r="A99" s="11" t="s">
        <v>132</v>
      </c>
      <c r="B99" s="12"/>
      <c r="C99" s="13" t="n">
        <v>3</v>
      </c>
      <c r="D99" s="14" t="n">
        <v>46269</v>
      </c>
      <c r="E99" s="13" t="str">
        <f aca="false">MID("日月火水木金土",WEEKDAY(D99),1)</f>
        <v>金</v>
      </c>
      <c r="F99" s="13" t="s">
        <v>50</v>
      </c>
      <c r="G99" s="15" t="s">
        <v>80</v>
      </c>
      <c r="H99" s="15" t="s">
        <v>135</v>
      </c>
      <c r="I99" s="21"/>
      <c r="J99" s="16" t="s">
        <v>39</v>
      </c>
      <c r="K99" s="17" t="n">
        <v>107</v>
      </c>
      <c r="L99" s="21"/>
    </row>
    <row r="100" customFormat="false" ht="15" hidden="false" customHeight="false" outlineLevel="0" collapsed="false">
      <c r="A100" s="11" t="s">
        <v>132</v>
      </c>
      <c r="B100" s="12"/>
      <c r="C100" s="13" t="n">
        <v>4</v>
      </c>
      <c r="D100" s="14" t="n">
        <v>46269</v>
      </c>
      <c r="E100" s="13" t="str">
        <f aca="false">MID("日月火水木金土",WEEKDAY(D100),1)</f>
        <v>金</v>
      </c>
      <c r="F100" s="13" t="s">
        <v>46</v>
      </c>
      <c r="G100" s="15" t="s">
        <v>80</v>
      </c>
      <c r="H100" s="15" t="s">
        <v>135</v>
      </c>
      <c r="I100" s="21"/>
      <c r="J100" s="16" t="s">
        <v>39</v>
      </c>
      <c r="K100" s="17" t="n">
        <v>107</v>
      </c>
      <c r="L100" s="21"/>
    </row>
    <row r="101" customFormat="false" ht="15" hidden="false" customHeight="false" outlineLevel="0" collapsed="false">
      <c r="A101" s="11" t="s">
        <v>132</v>
      </c>
      <c r="B101" s="12"/>
      <c r="C101" s="13" t="n">
        <v>5</v>
      </c>
      <c r="D101" s="14" t="n">
        <v>46269</v>
      </c>
      <c r="E101" s="13" t="str">
        <f aca="false">MID("日月火水木金土",WEEKDAY(D101),1)</f>
        <v>金</v>
      </c>
      <c r="F101" s="13" t="s">
        <v>48</v>
      </c>
      <c r="G101" s="15" t="s">
        <v>80</v>
      </c>
      <c r="H101" s="15" t="s">
        <v>136</v>
      </c>
      <c r="I101" s="21"/>
      <c r="J101" s="16" t="s">
        <v>39</v>
      </c>
      <c r="K101" s="17" t="n">
        <v>107</v>
      </c>
      <c r="L101" s="21"/>
    </row>
    <row r="102" customFormat="false" ht="15" hidden="false" customHeight="false" outlineLevel="0" collapsed="false">
      <c r="A102" s="11" t="s">
        <v>132</v>
      </c>
      <c r="B102" s="12"/>
      <c r="C102" s="13" t="n">
        <v>6</v>
      </c>
      <c r="D102" s="14" t="n">
        <v>46269</v>
      </c>
      <c r="E102" s="13" t="str">
        <f aca="false">MID("日月火水木金土",WEEKDAY(D102),1)</f>
        <v>金</v>
      </c>
      <c r="F102" s="13" t="s">
        <v>107</v>
      </c>
      <c r="G102" s="15" t="s">
        <v>87</v>
      </c>
      <c r="H102" s="15" t="s">
        <v>137</v>
      </c>
      <c r="I102" s="21"/>
      <c r="J102" s="16" t="s">
        <v>34</v>
      </c>
      <c r="K102" s="17" t="n">
        <v>107</v>
      </c>
      <c r="L102" s="21"/>
    </row>
    <row r="103" customFormat="false" ht="15" hidden="false" customHeight="false" outlineLevel="0" collapsed="false">
      <c r="A103" s="11" t="s">
        <v>132</v>
      </c>
      <c r="B103" s="12"/>
      <c r="C103" s="13" t="n">
        <v>7</v>
      </c>
      <c r="D103" s="14" t="n">
        <v>46272</v>
      </c>
      <c r="E103" s="13" t="str">
        <f aca="false">MID("日月火水木金土",WEEKDAY(D103),1)</f>
        <v>月</v>
      </c>
      <c r="F103" s="13" t="s">
        <v>57</v>
      </c>
      <c r="G103" s="15" t="s">
        <v>87</v>
      </c>
      <c r="H103" s="15" t="s">
        <v>138</v>
      </c>
      <c r="I103" s="21"/>
      <c r="J103" s="16" t="s">
        <v>34</v>
      </c>
      <c r="K103" s="17" t="n">
        <v>108</v>
      </c>
      <c r="L103" s="21"/>
    </row>
    <row r="104" customFormat="false" ht="15" hidden="false" customHeight="false" outlineLevel="0" collapsed="false">
      <c r="A104" s="11" t="s">
        <v>132</v>
      </c>
      <c r="B104" s="12"/>
      <c r="C104" s="13" t="n">
        <v>8</v>
      </c>
      <c r="D104" s="14" t="n">
        <v>46272</v>
      </c>
      <c r="E104" s="13" t="str">
        <f aca="false">MID("日月火水木金土",WEEKDAY(D104),1)</f>
        <v>月</v>
      </c>
      <c r="F104" s="13" t="s">
        <v>107</v>
      </c>
      <c r="G104" s="15" t="s">
        <v>87</v>
      </c>
      <c r="H104" s="15" t="s">
        <v>139</v>
      </c>
      <c r="I104" s="21"/>
      <c r="J104" s="16" t="s">
        <v>34</v>
      </c>
      <c r="K104" s="17" t="n">
        <v>108</v>
      </c>
      <c r="L104" s="21"/>
    </row>
    <row r="105" customFormat="false" ht="15" hidden="false" customHeight="false" outlineLevel="0" collapsed="false">
      <c r="A105" s="11" t="s">
        <v>132</v>
      </c>
      <c r="B105" s="12"/>
      <c r="C105" s="13" t="n">
        <v>9</v>
      </c>
      <c r="D105" s="14" t="n">
        <v>46273</v>
      </c>
      <c r="E105" s="13" t="str">
        <f aca="false">MID("日月火水木金土",WEEKDAY(D105),1)</f>
        <v>火</v>
      </c>
      <c r="F105" s="13" t="s">
        <v>30</v>
      </c>
      <c r="G105" s="15" t="s">
        <v>87</v>
      </c>
      <c r="H105" s="15" t="s">
        <v>138</v>
      </c>
      <c r="I105" s="21"/>
      <c r="J105" s="16" t="s">
        <v>34</v>
      </c>
      <c r="K105" s="17" t="n">
        <v>109</v>
      </c>
      <c r="L105" s="21"/>
    </row>
    <row r="106" customFormat="false" ht="15" hidden="false" customHeight="false" outlineLevel="0" collapsed="false">
      <c r="A106" s="11" t="s">
        <v>132</v>
      </c>
      <c r="B106" s="12"/>
      <c r="C106" s="13" t="n">
        <v>10</v>
      </c>
      <c r="D106" s="14" t="n">
        <v>46273</v>
      </c>
      <c r="E106" s="13" t="str">
        <f aca="false">MID("日月火水木金土",WEEKDAY(D106),1)</f>
        <v>火</v>
      </c>
      <c r="F106" s="13" t="s">
        <v>46</v>
      </c>
      <c r="G106" s="15" t="s">
        <v>80</v>
      </c>
      <c r="H106" s="15" t="s">
        <v>140</v>
      </c>
      <c r="I106" s="21"/>
      <c r="J106" s="16" t="s">
        <v>39</v>
      </c>
      <c r="K106" s="17" t="n">
        <v>109</v>
      </c>
      <c r="L106" s="21"/>
    </row>
    <row r="107" customFormat="false" ht="15" hidden="false" customHeight="false" outlineLevel="0" collapsed="false">
      <c r="A107" s="11" t="s">
        <v>132</v>
      </c>
      <c r="B107" s="12"/>
      <c r="C107" s="13" t="n">
        <v>11</v>
      </c>
      <c r="D107" s="14" t="n">
        <v>46273</v>
      </c>
      <c r="E107" s="13" t="str">
        <f aca="false">MID("日月火水木金土",WEEKDAY(D107),1)</f>
        <v>火</v>
      </c>
      <c r="F107" s="13" t="s">
        <v>42</v>
      </c>
      <c r="G107" s="15" t="s">
        <v>87</v>
      </c>
      <c r="H107" s="15" t="s">
        <v>141</v>
      </c>
      <c r="I107" s="21"/>
      <c r="J107" s="16" t="s">
        <v>34</v>
      </c>
      <c r="K107" s="17" t="n">
        <v>109</v>
      </c>
      <c r="L107" s="21"/>
    </row>
    <row r="108" customFormat="false" ht="15" hidden="false" customHeight="false" outlineLevel="0" collapsed="false">
      <c r="A108" s="11" t="s">
        <v>132</v>
      </c>
      <c r="B108" s="12"/>
      <c r="C108" s="13" t="n">
        <v>12</v>
      </c>
      <c r="D108" s="14" t="n">
        <v>46274</v>
      </c>
      <c r="E108" s="13" t="str">
        <f aca="false">MID("日月火水木金土",WEEKDAY(D108),1)</f>
        <v>水</v>
      </c>
      <c r="F108" s="13" t="s">
        <v>57</v>
      </c>
      <c r="G108" s="15" t="s">
        <v>87</v>
      </c>
      <c r="H108" s="15" t="s">
        <v>142</v>
      </c>
      <c r="I108" s="21"/>
      <c r="J108" s="16" t="s">
        <v>34</v>
      </c>
      <c r="K108" s="17" t="n">
        <v>110</v>
      </c>
      <c r="L108" s="21"/>
    </row>
    <row r="109" customFormat="false" ht="15" hidden="false" customHeight="false" outlineLevel="0" collapsed="false">
      <c r="A109" s="11" t="s">
        <v>132</v>
      </c>
      <c r="B109" s="12"/>
      <c r="C109" s="13" t="n">
        <v>13</v>
      </c>
      <c r="D109" s="14" t="n">
        <v>46274</v>
      </c>
      <c r="E109" s="13" t="str">
        <f aca="false">MID("日月火水木金土",WEEKDAY(D109),1)</f>
        <v>水</v>
      </c>
      <c r="F109" s="13" t="s">
        <v>107</v>
      </c>
      <c r="G109" s="15" t="s">
        <v>87</v>
      </c>
      <c r="H109" s="15" t="s">
        <v>143</v>
      </c>
      <c r="I109" s="21"/>
      <c r="J109" s="16" t="s">
        <v>34</v>
      </c>
      <c r="K109" s="17" t="n">
        <v>110</v>
      </c>
      <c r="L109" s="21"/>
    </row>
    <row r="110" customFormat="false" ht="15" hidden="false" customHeight="false" outlineLevel="0" collapsed="false">
      <c r="A110" s="11" t="s">
        <v>132</v>
      </c>
      <c r="B110" s="12"/>
      <c r="C110" s="13" t="n">
        <v>14</v>
      </c>
      <c r="D110" s="14" t="n">
        <v>46275</v>
      </c>
      <c r="E110" s="13" t="str">
        <f aca="false">MID("日月火水木金土",WEEKDAY(D110),1)</f>
        <v>木</v>
      </c>
      <c r="F110" s="13" t="s">
        <v>77</v>
      </c>
      <c r="G110" s="15" t="s">
        <v>87</v>
      </c>
      <c r="H110" s="15" t="s">
        <v>144</v>
      </c>
      <c r="I110" s="15" t="s">
        <v>95</v>
      </c>
      <c r="J110" s="16" t="s">
        <v>34</v>
      </c>
      <c r="K110" s="17" t="n">
        <v>111</v>
      </c>
      <c r="L110" s="21"/>
    </row>
    <row r="111" customFormat="false" ht="15" hidden="false" customHeight="false" outlineLevel="0" collapsed="false">
      <c r="A111" s="11" t="s">
        <v>132</v>
      </c>
      <c r="B111" s="12"/>
      <c r="C111" s="13" t="n">
        <v>15</v>
      </c>
      <c r="D111" s="14" t="n">
        <v>46275</v>
      </c>
      <c r="E111" s="13" t="str">
        <f aca="false">MID("日月火水木金土",WEEKDAY(D111),1)</f>
        <v>木</v>
      </c>
      <c r="F111" s="13" t="s">
        <v>145</v>
      </c>
      <c r="G111" s="15" t="s">
        <v>87</v>
      </c>
      <c r="H111" s="15" t="s">
        <v>146</v>
      </c>
      <c r="I111" s="21"/>
      <c r="J111" s="16" t="s">
        <v>34</v>
      </c>
      <c r="K111" s="17" t="n">
        <v>111</v>
      </c>
      <c r="L111" s="21"/>
    </row>
    <row r="112" customFormat="false" ht="15" hidden="false" customHeight="false" outlineLevel="0" collapsed="false">
      <c r="A112" s="11" t="s">
        <v>132</v>
      </c>
      <c r="B112" s="12"/>
      <c r="C112" s="13" t="n">
        <v>16</v>
      </c>
      <c r="D112" s="14" t="n">
        <v>46275</v>
      </c>
      <c r="E112" s="13" t="str">
        <f aca="false">MID("日月火水木金土",WEEKDAY(D112),1)</f>
        <v>木</v>
      </c>
      <c r="F112" s="13" t="s">
        <v>99</v>
      </c>
      <c r="G112" s="15" t="s">
        <v>87</v>
      </c>
      <c r="H112" s="15" t="s">
        <v>147</v>
      </c>
      <c r="I112" s="21"/>
      <c r="J112" s="16" t="s">
        <v>34</v>
      </c>
      <c r="K112" s="17" t="n">
        <v>111</v>
      </c>
      <c r="L112" s="21"/>
    </row>
    <row r="113" customFormat="false" ht="15" hidden="false" customHeight="false" outlineLevel="0" collapsed="false">
      <c r="A113" s="11" t="s">
        <v>132</v>
      </c>
      <c r="B113" s="12"/>
      <c r="C113" s="13" t="n">
        <v>17</v>
      </c>
      <c r="D113" s="14" t="n">
        <v>46276</v>
      </c>
      <c r="E113" s="13" t="str">
        <f aca="false">MID("日月火水木金土",WEEKDAY(D113),1)</f>
        <v>金</v>
      </c>
      <c r="F113" s="13" t="s">
        <v>50</v>
      </c>
      <c r="G113" s="15" t="s">
        <v>87</v>
      </c>
      <c r="H113" s="15" t="s">
        <v>147</v>
      </c>
      <c r="I113" s="21"/>
      <c r="J113" s="16" t="s">
        <v>34</v>
      </c>
      <c r="K113" s="17" t="n">
        <v>112</v>
      </c>
      <c r="L113" s="21"/>
    </row>
    <row r="114" customFormat="false" ht="15" hidden="false" customHeight="false" outlineLevel="0" collapsed="false">
      <c r="A114" s="11" t="s">
        <v>132</v>
      </c>
      <c r="B114" s="12"/>
      <c r="C114" s="13" t="n">
        <v>18</v>
      </c>
      <c r="D114" s="14" t="n">
        <v>46276</v>
      </c>
      <c r="E114" s="13" t="str">
        <f aca="false">MID("日月火水木金土",WEEKDAY(D114),1)</f>
        <v>金</v>
      </c>
      <c r="F114" s="13" t="s">
        <v>30</v>
      </c>
      <c r="G114" s="15" t="s">
        <v>87</v>
      </c>
      <c r="H114" s="15" t="s">
        <v>148</v>
      </c>
      <c r="I114" s="15" t="s">
        <v>95</v>
      </c>
      <c r="J114" s="16" t="s">
        <v>34</v>
      </c>
      <c r="K114" s="17" t="n">
        <v>112</v>
      </c>
      <c r="L114" s="21"/>
    </row>
    <row r="115" customFormat="false" ht="15" hidden="false" customHeight="false" outlineLevel="0" collapsed="false">
      <c r="A115" s="11" t="s">
        <v>132</v>
      </c>
      <c r="B115" s="12"/>
      <c r="C115" s="13" t="n">
        <v>19</v>
      </c>
      <c r="D115" s="14" t="n">
        <v>46279</v>
      </c>
      <c r="E115" s="13" t="str">
        <f aca="false">MID("日月火水木金土",WEEKDAY(D115),1)</f>
        <v>月</v>
      </c>
      <c r="F115" s="13" t="s">
        <v>46</v>
      </c>
      <c r="G115" s="15" t="s">
        <v>87</v>
      </c>
      <c r="H115" s="15" t="s">
        <v>149</v>
      </c>
      <c r="I115" s="15" t="s">
        <v>95</v>
      </c>
      <c r="J115" s="16" t="s">
        <v>34</v>
      </c>
      <c r="K115" s="17" t="n">
        <v>113</v>
      </c>
      <c r="L115" s="21"/>
    </row>
    <row r="116" customFormat="false" ht="15" hidden="false" customHeight="false" outlineLevel="0" collapsed="false">
      <c r="A116" s="11" t="s">
        <v>132</v>
      </c>
      <c r="B116" s="12"/>
      <c r="C116" s="13" t="n">
        <v>20</v>
      </c>
      <c r="D116" s="14" t="n">
        <v>46280</v>
      </c>
      <c r="E116" s="13" t="str">
        <f aca="false">MID("日月火水木金土",WEEKDAY(D116),1)</f>
        <v>火</v>
      </c>
      <c r="F116" s="13" t="s">
        <v>30</v>
      </c>
      <c r="G116" s="15" t="s">
        <v>78</v>
      </c>
      <c r="H116" s="15" t="s">
        <v>150</v>
      </c>
      <c r="I116" s="21"/>
      <c r="J116" s="16" t="s">
        <v>34</v>
      </c>
      <c r="K116" s="17" t="n">
        <v>114</v>
      </c>
      <c r="L116" s="21"/>
    </row>
    <row r="117" customFormat="false" ht="15" hidden="false" customHeight="false" outlineLevel="0" collapsed="false">
      <c r="A117" s="11" t="s">
        <v>132</v>
      </c>
      <c r="B117" s="12"/>
      <c r="C117" s="13" t="n">
        <v>21</v>
      </c>
      <c r="D117" s="14" t="n">
        <v>46281</v>
      </c>
      <c r="E117" s="13" t="str">
        <f aca="false">MID("日月火水木金土",WEEKDAY(D117),1)</f>
        <v>水</v>
      </c>
      <c r="F117" s="13" t="s">
        <v>145</v>
      </c>
      <c r="G117" s="15" t="s">
        <v>87</v>
      </c>
      <c r="H117" s="15" t="s">
        <v>149</v>
      </c>
      <c r="I117" s="21"/>
      <c r="J117" s="16" t="s">
        <v>34</v>
      </c>
      <c r="K117" s="17" t="n">
        <v>115</v>
      </c>
      <c r="L117" s="21"/>
    </row>
    <row r="118" customFormat="false" ht="15" hidden="false" customHeight="false" outlineLevel="0" collapsed="false">
      <c r="A118" s="11" t="s">
        <v>132</v>
      </c>
      <c r="B118" s="12"/>
      <c r="C118" s="13" t="n">
        <v>22</v>
      </c>
      <c r="D118" s="14" t="n">
        <v>46283</v>
      </c>
      <c r="E118" s="13" t="str">
        <f aca="false">MID("日月火水木金土",WEEKDAY(D118),1)</f>
        <v>金</v>
      </c>
      <c r="F118" s="13" t="s">
        <v>77</v>
      </c>
      <c r="G118" s="15" t="s">
        <v>80</v>
      </c>
      <c r="H118" s="15" t="s">
        <v>151</v>
      </c>
      <c r="I118" s="21"/>
      <c r="J118" s="16" t="s">
        <v>39</v>
      </c>
      <c r="K118" s="17" t="n">
        <v>117</v>
      </c>
      <c r="L118" s="21"/>
    </row>
    <row r="119" customFormat="false" ht="15" hidden="false" customHeight="false" outlineLevel="0" collapsed="false">
      <c r="A119" s="11" t="s">
        <v>132</v>
      </c>
      <c r="B119" s="12"/>
      <c r="C119" s="13" t="n">
        <v>23</v>
      </c>
      <c r="D119" s="14" t="n">
        <v>46283</v>
      </c>
      <c r="E119" s="13" t="str">
        <f aca="false">MID("日月火水木金土",WEEKDAY(D119),1)</f>
        <v>金</v>
      </c>
      <c r="F119" s="13" t="s">
        <v>48</v>
      </c>
      <c r="G119" s="15" t="s">
        <v>80</v>
      </c>
      <c r="H119" s="15" t="s">
        <v>152</v>
      </c>
      <c r="I119" s="21"/>
      <c r="J119" s="16" t="s">
        <v>39</v>
      </c>
      <c r="K119" s="17" t="n">
        <v>117</v>
      </c>
      <c r="L119" s="21"/>
    </row>
    <row r="120" customFormat="false" ht="30" hidden="false" customHeight="true" outlineLevel="0" collapsed="false">
      <c r="A120" s="6" t="s">
        <v>153</v>
      </c>
      <c r="B120" s="7" t="str">
        <f aca="false">INDEX(条文マスタ!$C$5:$C$24,MATCH($A120,条文マスタ!$A$5:$A$24,0))</f>
        <v>対外接渉に関する資料</v>
      </c>
      <c r="C120" s="7"/>
      <c r="D120" s="7"/>
      <c r="E120" s="7"/>
      <c r="F120" s="7"/>
      <c r="G120" s="8" t="str">
        <f aca="false">INDEX(条文マスタ!$D$5:$D$24,MATCH($A120,条文マスタ!$A$5:$A$24,0))</f>
        <v>監督職員と協議の上、地元若しくは関係機関等との接渉に必要な測量、調査又は資料の作成を行う。</v>
      </c>
      <c r="H120" s="8"/>
      <c r="I120" s="9" t="str">
        <f aca="false">COUNT($C$121:$C$127)&amp;"件"</f>
        <v>7件</v>
      </c>
      <c r="J120" s="6" t="s">
        <v>22</v>
      </c>
      <c r="K120" s="6" t="str">
        <f aca="false">IF(COUNT($C$121:$C$127)=0,0,SUMPRODUCT(($C$121:$C$127&lt;&gt;"")/COUNTIFS($D$121:$D$127,$D$121:$D$127&amp;"")))&amp;"日"</f>
        <v>5日</v>
      </c>
      <c r="L120" s="10"/>
    </row>
    <row r="121" customFormat="false" ht="15" hidden="false" customHeight="false" outlineLevel="0" collapsed="false">
      <c r="A121" s="11" t="s">
        <v>154</v>
      </c>
      <c r="B121" s="12"/>
      <c r="C121" s="13" t="n">
        <v>1</v>
      </c>
      <c r="D121" s="14" t="n">
        <v>46268</v>
      </c>
      <c r="E121" s="13" t="str">
        <f aca="false">MID("日月火水木金土",WEEKDAY(D121),1)</f>
        <v>木</v>
      </c>
      <c r="F121" s="13" t="s">
        <v>50</v>
      </c>
      <c r="G121" s="15" t="s">
        <v>78</v>
      </c>
      <c r="H121" s="15" t="s">
        <v>155</v>
      </c>
      <c r="I121" s="21"/>
      <c r="J121" s="16" t="s">
        <v>34</v>
      </c>
      <c r="K121" s="17" t="n">
        <v>106</v>
      </c>
      <c r="L121" s="21"/>
    </row>
    <row r="122" customFormat="false" ht="15" hidden="false" customHeight="false" outlineLevel="0" collapsed="false">
      <c r="A122" s="11" t="s">
        <v>154</v>
      </c>
      <c r="B122" s="12"/>
      <c r="C122" s="13" t="n">
        <v>2</v>
      </c>
      <c r="D122" s="14" t="n">
        <v>46275</v>
      </c>
      <c r="E122" s="13" t="str">
        <f aca="false">MID("日月火水木金土",WEEKDAY(D122),1)</f>
        <v>木</v>
      </c>
      <c r="F122" s="13" t="s">
        <v>156</v>
      </c>
      <c r="G122" s="15" t="s">
        <v>78</v>
      </c>
      <c r="H122" s="15" t="s">
        <v>157</v>
      </c>
      <c r="I122" s="21"/>
      <c r="J122" s="16" t="s">
        <v>34</v>
      </c>
      <c r="K122" s="17" t="n">
        <v>111</v>
      </c>
      <c r="L122" s="21"/>
    </row>
    <row r="123" customFormat="false" ht="26.85" hidden="false" customHeight="false" outlineLevel="0" collapsed="false">
      <c r="A123" s="11" t="s">
        <v>154</v>
      </c>
      <c r="B123" s="12"/>
      <c r="C123" s="13" t="n">
        <v>3</v>
      </c>
      <c r="D123" s="14" t="n">
        <v>46289</v>
      </c>
      <c r="E123" s="13" t="str">
        <f aca="false">MID("日月火水木金土",WEEKDAY(D123),1)</f>
        <v>木</v>
      </c>
      <c r="F123" s="13" t="s">
        <v>158</v>
      </c>
      <c r="G123" s="15" t="s">
        <v>159</v>
      </c>
      <c r="H123" s="15" t="s">
        <v>160</v>
      </c>
      <c r="I123" s="21"/>
      <c r="J123" s="16" t="s">
        <v>27</v>
      </c>
      <c r="K123" s="17" t="n">
        <v>118</v>
      </c>
      <c r="L123" s="21"/>
    </row>
    <row r="124" customFormat="false" ht="26.85" hidden="false" customHeight="false" outlineLevel="0" collapsed="false">
      <c r="A124" s="11" t="s">
        <v>154</v>
      </c>
      <c r="B124" s="12"/>
      <c r="C124" s="13" t="n">
        <v>4</v>
      </c>
      <c r="D124" s="14" t="n">
        <v>46289</v>
      </c>
      <c r="E124" s="13" t="str">
        <f aca="false">MID("日月火水木金土",WEEKDAY(D124),1)</f>
        <v>木</v>
      </c>
      <c r="F124" s="13" t="s">
        <v>99</v>
      </c>
      <c r="G124" s="15" t="s">
        <v>161</v>
      </c>
      <c r="H124" s="15" t="s">
        <v>162</v>
      </c>
      <c r="I124" s="21"/>
      <c r="J124" s="16" t="s">
        <v>39</v>
      </c>
      <c r="K124" s="17" t="n">
        <v>118</v>
      </c>
      <c r="L124" s="21"/>
    </row>
    <row r="125" customFormat="false" ht="15" hidden="false" customHeight="false" outlineLevel="0" collapsed="false">
      <c r="A125" s="11" t="s">
        <v>154</v>
      </c>
      <c r="B125" s="12"/>
      <c r="C125" s="13" t="n">
        <v>5</v>
      </c>
      <c r="D125" s="14" t="n">
        <v>46290</v>
      </c>
      <c r="E125" s="13" t="str">
        <f aca="false">MID("日月火水木金土",WEEKDAY(D125),1)</f>
        <v>金</v>
      </c>
      <c r="F125" s="13" t="s">
        <v>50</v>
      </c>
      <c r="G125" s="21" t="s">
        <v>65</v>
      </c>
      <c r="H125" s="15" t="s">
        <v>163</v>
      </c>
      <c r="I125" s="21"/>
      <c r="J125" s="16" t="s">
        <v>34</v>
      </c>
      <c r="K125" s="17" t="n">
        <v>119</v>
      </c>
      <c r="L125" s="21"/>
    </row>
    <row r="126" customFormat="false" ht="26.85" hidden="false" customHeight="false" outlineLevel="0" collapsed="false">
      <c r="A126" s="11" t="s">
        <v>154</v>
      </c>
      <c r="B126" s="12"/>
      <c r="C126" s="13" t="n">
        <v>6</v>
      </c>
      <c r="D126" s="14" t="n">
        <v>46295</v>
      </c>
      <c r="E126" s="13" t="str">
        <f aca="false">MID("日月火水木金土",WEEKDAY(D126),1)</f>
        <v>水</v>
      </c>
      <c r="F126" s="13" t="s">
        <v>50</v>
      </c>
      <c r="G126" s="15" t="s">
        <v>36</v>
      </c>
      <c r="H126" s="15" t="s">
        <v>164</v>
      </c>
      <c r="I126" s="21"/>
      <c r="J126" s="16" t="s">
        <v>39</v>
      </c>
      <c r="K126" s="17" t="n">
        <v>122</v>
      </c>
      <c r="L126" s="21"/>
    </row>
    <row r="127" customFormat="false" ht="26.85" hidden="false" customHeight="false" outlineLevel="0" collapsed="false">
      <c r="A127" s="11" t="s">
        <v>154</v>
      </c>
      <c r="B127" s="12"/>
      <c r="C127" s="13" t="n">
        <v>7</v>
      </c>
      <c r="D127" s="14" t="n">
        <v>46295</v>
      </c>
      <c r="E127" s="13" t="str">
        <f aca="false">MID("日月火水木金土",WEEKDAY(D127),1)</f>
        <v>水</v>
      </c>
      <c r="F127" s="13" t="s">
        <v>46</v>
      </c>
      <c r="G127" s="15" t="s">
        <v>36</v>
      </c>
      <c r="H127" s="15" t="s">
        <v>164</v>
      </c>
      <c r="I127" s="21"/>
      <c r="J127" s="16" t="s">
        <v>39</v>
      </c>
      <c r="K127" s="17" t="n">
        <v>122</v>
      </c>
      <c r="L127" s="21"/>
    </row>
    <row r="128" customFormat="false" ht="30" hidden="false" customHeight="true" outlineLevel="0" collapsed="false">
      <c r="A128" s="6" t="s">
        <v>165</v>
      </c>
      <c r="B128" s="7" t="str">
        <f aca="false">INDEX(条文マスタ!$C$5:$C$24,MATCH($A128,条文マスタ!$A$5:$A$24,0))</f>
        <v>書面での報告</v>
      </c>
      <c r="C128" s="7"/>
      <c r="D128" s="7"/>
      <c r="E128" s="7"/>
      <c r="F128" s="7"/>
      <c r="G128" s="8" t="str">
        <f aca="false">INDEX(条文マスタ!$D$5:$D$24,MATCH($A128,条文マスタ!$A$5:$A$24,0))</f>
        <v>第2章の各条にいう書面での監督職員に対する報告は、業務処理結果報告書による。</v>
      </c>
      <c r="H128" s="8"/>
      <c r="I128" s="9" t="str">
        <f aca="false">COUNT($C$129:$C$129)&amp;"件"</f>
        <v>0件</v>
      </c>
      <c r="J128" s="6" t="s">
        <v>22</v>
      </c>
      <c r="K128" s="6" t="str">
        <f aca="false">IF(COUNT($C$129:$C$129)=0,0,SUMPRODUCT(($C$129:$C$129&lt;&gt;"")/COUNTIFS($D$129:$D$129,$D$129:$D$129&amp;"")))&amp;"日"</f>
        <v>0日</v>
      </c>
      <c r="L128" s="10"/>
    </row>
    <row r="129" customFormat="false" ht="15" hidden="false" customHeight="false" outlineLevel="0" collapsed="false">
      <c r="A129" s="18" t="s">
        <v>166</v>
      </c>
      <c r="B129" s="19"/>
      <c r="C129" s="19"/>
      <c r="D129" s="19"/>
      <c r="E129" s="19"/>
      <c r="F129" s="19"/>
      <c r="G129" s="19"/>
      <c r="H129" s="20" t="s">
        <v>62</v>
      </c>
      <c r="I129" s="20"/>
      <c r="J129" s="20"/>
      <c r="K129" s="20"/>
      <c r="L129" s="20"/>
    </row>
    <row r="130" customFormat="false" ht="30" hidden="false" customHeight="true" outlineLevel="0" collapsed="false">
      <c r="A130" s="6" t="s">
        <v>167</v>
      </c>
      <c r="B130" s="7" t="str">
        <f aca="false">INDEX(条文マスタ!$C$5:$C$24,MATCH($A130,条文マスタ!$A$5:$A$24,0))</f>
        <v>設計に必要な調査</v>
      </c>
      <c r="C130" s="7"/>
      <c r="D130" s="7"/>
      <c r="E130" s="7"/>
      <c r="F130" s="7"/>
      <c r="G130" s="8" t="str">
        <f aca="false">INDEX(条文マスタ!$D$5:$D$24,MATCH($A130,条文マスタ!$A$5:$A$24,0))</f>
        <v>設計に必要な現場条件等の調査を、事前に監督職員と協議の上行い、調査結果は書面で提出する。</v>
      </c>
      <c r="H130" s="8"/>
      <c r="I130" s="9" t="str">
        <f aca="false">COUNT($C$131:$C$136)&amp;"件"</f>
        <v>6件</v>
      </c>
      <c r="J130" s="6" t="s">
        <v>22</v>
      </c>
      <c r="K130" s="6" t="str">
        <f aca="false">IF(COUNT($C$131:$C$136)=0,0,SUMPRODUCT(($C$131:$C$136&lt;&gt;"")/COUNTIFS($D$131:$D$136,$D$131:$D$136&amp;"")))&amp;"日"</f>
        <v>2日</v>
      </c>
      <c r="L130" s="10"/>
    </row>
    <row r="131" customFormat="false" ht="15" hidden="false" customHeight="false" outlineLevel="0" collapsed="false">
      <c r="A131" s="11" t="s">
        <v>168</v>
      </c>
      <c r="B131" s="12"/>
      <c r="C131" s="13" t="n">
        <v>1</v>
      </c>
      <c r="D131" s="14" t="n">
        <v>46276</v>
      </c>
      <c r="E131" s="13" t="str">
        <f aca="false">MID("日月火水木金土",WEEKDAY(D131),1)</f>
        <v>金</v>
      </c>
      <c r="F131" s="13" t="s">
        <v>53</v>
      </c>
      <c r="G131" s="15" t="s">
        <v>169</v>
      </c>
      <c r="H131" s="15" t="s">
        <v>170</v>
      </c>
      <c r="I131" s="21"/>
      <c r="J131" s="16" t="s">
        <v>34</v>
      </c>
      <c r="K131" s="17" t="n">
        <v>112</v>
      </c>
      <c r="L131" s="21"/>
    </row>
    <row r="132" customFormat="false" ht="15" hidden="false" customHeight="false" outlineLevel="0" collapsed="false">
      <c r="A132" s="11" t="s">
        <v>168</v>
      </c>
      <c r="B132" s="12"/>
      <c r="C132" s="13" t="n">
        <v>2</v>
      </c>
      <c r="D132" s="14" t="n">
        <v>46276</v>
      </c>
      <c r="E132" s="13" t="str">
        <f aca="false">MID("日月火水木金土",WEEKDAY(D132),1)</f>
        <v>金</v>
      </c>
      <c r="F132" s="13" t="s">
        <v>99</v>
      </c>
      <c r="G132" s="15" t="s">
        <v>169</v>
      </c>
      <c r="H132" s="15" t="s">
        <v>171</v>
      </c>
      <c r="I132" s="21"/>
      <c r="J132" s="16" t="s">
        <v>34</v>
      </c>
      <c r="K132" s="17" t="n">
        <v>112</v>
      </c>
      <c r="L132" s="21"/>
    </row>
    <row r="133" customFormat="false" ht="15" hidden="false" customHeight="false" outlineLevel="0" collapsed="false">
      <c r="A133" s="11" t="s">
        <v>168</v>
      </c>
      <c r="B133" s="12"/>
      <c r="C133" s="13" t="n">
        <v>3</v>
      </c>
      <c r="D133" s="14" t="n">
        <v>46276</v>
      </c>
      <c r="E133" s="13" t="str">
        <f aca="false">MID("日月火水木金土",WEEKDAY(D133),1)</f>
        <v>金</v>
      </c>
      <c r="F133" s="13" t="s">
        <v>48</v>
      </c>
      <c r="G133" s="15" t="s">
        <v>169</v>
      </c>
      <c r="H133" s="15" t="s">
        <v>172</v>
      </c>
      <c r="I133" s="21"/>
      <c r="J133" s="16" t="s">
        <v>34</v>
      </c>
      <c r="K133" s="17" t="n">
        <v>112</v>
      </c>
      <c r="L133" s="21"/>
    </row>
    <row r="134" customFormat="false" ht="15" hidden="false" customHeight="false" outlineLevel="0" collapsed="false">
      <c r="A134" s="11" t="s">
        <v>168</v>
      </c>
      <c r="B134" s="12"/>
      <c r="C134" s="13" t="n">
        <v>4</v>
      </c>
      <c r="D134" s="14" t="n">
        <v>46289</v>
      </c>
      <c r="E134" s="13" t="str">
        <f aca="false">MID("日月火水木金土",WEEKDAY(D134),1)</f>
        <v>木</v>
      </c>
      <c r="F134" s="13" t="s">
        <v>30</v>
      </c>
      <c r="G134" s="15" t="s">
        <v>169</v>
      </c>
      <c r="H134" s="15" t="s">
        <v>170</v>
      </c>
      <c r="I134" s="21"/>
      <c r="J134" s="16" t="s">
        <v>34</v>
      </c>
      <c r="K134" s="17" t="n">
        <v>118</v>
      </c>
      <c r="L134" s="21"/>
    </row>
    <row r="135" customFormat="false" ht="15" hidden="false" customHeight="false" outlineLevel="0" collapsed="false">
      <c r="A135" s="11" t="s">
        <v>168</v>
      </c>
      <c r="B135" s="12"/>
      <c r="C135" s="13" t="n">
        <v>5</v>
      </c>
      <c r="D135" s="14" t="n">
        <v>46289</v>
      </c>
      <c r="E135" s="13" t="str">
        <f aca="false">MID("日月火水木金土",WEEKDAY(D135),1)</f>
        <v>木</v>
      </c>
      <c r="F135" s="13" t="s">
        <v>57</v>
      </c>
      <c r="G135" s="15" t="s">
        <v>169</v>
      </c>
      <c r="H135" s="15" t="s">
        <v>171</v>
      </c>
      <c r="I135" s="21"/>
      <c r="J135" s="16" t="s">
        <v>34</v>
      </c>
      <c r="K135" s="17" t="n">
        <v>118</v>
      </c>
      <c r="L135" s="21"/>
    </row>
    <row r="136" customFormat="false" ht="15" hidden="false" customHeight="false" outlineLevel="0" collapsed="false">
      <c r="A136" s="11" t="s">
        <v>168</v>
      </c>
      <c r="B136" s="12"/>
      <c r="C136" s="13" t="n">
        <v>6</v>
      </c>
      <c r="D136" s="14" t="n">
        <v>46289</v>
      </c>
      <c r="E136" s="13" t="str">
        <f aca="false">MID("日月火水木金土",WEEKDAY(D136),1)</f>
        <v>木</v>
      </c>
      <c r="F136" s="13" t="s">
        <v>24</v>
      </c>
      <c r="G136" s="15" t="s">
        <v>169</v>
      </c>
      <c r="H136" s="15" t="s">
        <v>172</v>
      </c>
      <c r="I136" s="21"/>
      <c r="J136" s="16" t="s">
        <v>34</v>
      </c>
      <c r="K136" s="17" t="n">
        <v>118</v>
      </c>
      <c r="L136" s="21"/>
    </row>
    <row r="137" customFormat="false" ht="30" hidden="false" customHeight="true" outlineLevel="0" collapsed="false">
      <c r="A137" s="6" t="s">
        <v>173</v>
      </c>
      <c r="B137" s="7" t="str">
        <f aca="false">INDEX(条文マスタ!$C$5:$C$24,MATCH($A137,条文マスタ!$A$5:$A$24,0))</f>
        <v>設計に必要な資料</v>
      </c>
      <c r="C137" s="7"/>
      <c r="D137" s="7"/>
      <c r="E137" s="7"/>
      <c r="F137" s="7"/>
      <c r="G137" s="8" t="str">
        <f aca="false">INDEX(条文マスタ!$D$5:$D$24,MATCH($A137,条文マスタ!$A$5:$A$24,0))</f>
        <v>設計に必要な図面、数量取りまとめ、各種データの作成等を、事前に監督職員と協議の上行い、結果を書面で提出する。</v>
      </c>
      <c r="H137" s="8"/>
      <c r="I137" s="9" t="str">
        <f aca="false">COUNT($C$138:$C$138)&amp;"件"</f>
        <v>0件</v>
      </c>
      <c r="J137" s="6" t="s">
        <v>22</v>
      </c>
      <c r="K137" s="6" t="str">
        <f aca="false">IF(COUNT($C$138:$C$138)=0,0,SUMPRODUCT(($C$138:$C$138&lt;&gt;"")/COUNTIFS($D$138:$D$138,$D$138:$D$138&amp;"")))&amp;"日"</f>
        <v>0日</v>
      </c>
      <c r="L137" s="10"/>
    </row>
    <row r="138" customFormat="false" ht="15" hidden="false" customHeight="false" outlineLevel="0" collapsed="false">
      <c r="A138" s="18" t="s">
        <v>174</v>
      </c>
      <c r="B138" s="19"/>
      <c r="C138" s="19"/>
      <c r="D138" s="19"/>
      <c r="E138" s="19"/>
      <c r="F138" s="19"/>
      <c r="G138" s="19"/>
      <c r="H138" s="20" t="s">
        <v>62</v>
      </c>
      <c r="I138" s="20"/>
      <c r="J138" s="20"/>
      <c r="K138" s="20"/>
      <c r="L138" s="20"/>
    </row>
    <row r="140" customFormat="false" ht="15" hidden="false" customHeight="false" outlineLevel="0" collapsed="false">
      <c r="A140" s="22" t="s">
        <v>175</v>
      </c>
    </row>
    <row r="141" customFormat="false" ht="15" hidden="false" customHeight="false" outlineLevel="0" collapsed="false">
      <c r="A141" s="22" t="s">
        <v>176</v>
      </c>
    </row>
    <row r="142" customFormat="false" ht="15" hidden="false" customHeight="false" outlineLevel="0" collapsed="false">
      <c r="A142" s="23" t="s">
        <v>177</v>
      </c>
    </row>
  </sheetData>
  <mergeCells count="49">
    <mergeCell ref="A1:L1"/>
    <mergeCell ref="A3:B3"/>
    <mergeCell ref="C3:L3"/>
    <mergeCell ref="A4:B4"/>
    <mergeCell ref="C4:L4"/>
    <mergeCell ref="A5:B5"/>
    <mergeCell ref="C5:L5"/>
    <mergeCell ref="A6:B6"/>
    <mergeCell ref="C6:L6"/>
    <mergeCell ref="B9:F9"/>
    <mergeCell ref="G9:H9"/>
    <mergeCell ref="B11:F11"/>
    <mergeCell ref="G11:H11"/>
    <mergeCell ref="B14:F14"/>
    <mergeCell ref="G14:H14"/>
    <mergeCell ref="B20:F20"/>
    <mergeCell ref="G20:H20"/>
    <mergeCell ref="B25:F25"/>
    <mergeCell ref="G25:H25"/>
    <mergeCell ref="B27:F27"/>
    <mergeCell ref="G27:H27"/>
    <mergeCell ref="B48:F48"/>
    <mergeCell ref="G48:H48"/>
    <mergeCell ref="B50:F50"/>
    <mergeCell ref="G50:H50"/>
    <mergeCell ref="B73:F73"/>
    <mergeCell ref="G73:H73"/>
    <mergeCell ref="B79:F79"/>
    <mergeCell ref="G79:H79"/>
    <mergeCell ref="B81:F81"/>
    <mergeCell ref="G81:H81"/>
    <mergeCell ref="B83:F83"/>
    <mergeCell ref="G83:H83"/>
    <mergeCell ref="B85:F85"/>
    <mergeCell ref="G85:H85"/>
    <mergeCell ref="B87:F87"/>
    <mergeCell ref="G87:H87"/>
    <mergeCell ref="B89:F89"/>
    <mergeCell ref="G89:H89"/>
    <mergeCell ref="B96:F96"/>
    <mergeCell ref="G96:H96"/>
    <mergeCell ref="B120:F120"/>
    <mergeCell ref="G120:H120"/>
    <mergeCell ref="B128:F128"/>
    <mergeCell ref="G128:H128"/>
    <mergeCell ref="B130:F130"/>
    <mergeCell ref="G130:H130"/>
    <mergeCell ref="B137:F137"/>
    <mergeCell ref="G137:H137"/>
  </mergeCells>
  <printOptions headings="false" gridLines="false" gridLinesSet="true" horizontalCentered="false" verticalCentered="false"/>
  <pageMargins left="0.4" right="0.4"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0"/>
    <col collapsed="false" customWidth="true" hidden="false" outlineLevel="0" max="3" min="3" style="0" width="30"/>
    <col collapsed="false" customWidth="true" hidden="false" outlineLevel="0" max="22" min="4" style="0" width="4.5"/>
    <col collapsed="false" customWidth="true" hidden="false" outlineLevel="0" max="24" min="23" style="0" width="8"/>
  </cols>
  <sheetData>
    <row r="1" customFormat="false" ht="19.4" hidden="false" customHeight="false" outlineLevel="0" collapsed="false">
      <c r="A1" s="24" t="s">
        <v>178</v>
      </c>
    </row>
    <row r="2" customFormat="false" ht="15" hidden="false" customHeight="false" outlineLevel="0" collapsed="false">
      <c r="A2" s="22" t="s">
        <v>179</v>
      </c>
    </row>
    <row r="4" customFormat="false" ht="15" hidden="false" customHeight="true" outlineLevel="0" collapsed="false">
      <c r="A4" s="25" t="s">
        <v>9</v>
      </c>
      <c r="B4" s="25" t="s">
        <v>180</v>
      </c>
      <c r="C4" s="25" t="s">
        <v>10</v>
      </c>
      <c r="D4" s="26" t="n">
        <v>46266</v>
      </c>
      <c r="E4" s="26" t="n">
        <v>46267</v>
      </c>
      <c r="F4" s="26" t="n">
        <v>46268</v>
      </c>
      <c r="G4" s="26" t="n">
        <v>46269</v>
      </c>
      <c r="H4" s="26" t="n">
        <v>46272</v>
      </c>
      <c r="I4" s="26" t="n">
        <v>46273</v>
      </c>
      <c r="J4" s="26" t="n">
        <v>46274</v>
      </c>
      <c r="K4" s="26" t="n">
        <v>46275</v>
      </c>
      <c r="L4" s="26" t="n">
        <v>46276</v>
      </c>
      <c r="M4" s="26" t="n">
        <v>46279</v>
      </c>
      <c r="N4" s="26" t="n">
        <v>46280</v>
      </c>
      <c r="O4" s="26" t="n">
        <v>46281</v>
      </c>
      <c r="P4" s="26" t="n">
        <v>46282</v>
      </c>
      <c r="Q4" s="26" t="n">
        <v>46283</v>
      </c>
      <c r="R4" s="26" t="n">
        <v>46289</v>
      </c>
      <c r="S4" s="26" t="n">
        <v>46290</v>
      </c>
      <c r="T4" s="26" t="n">
        <v>46293</v>
      </c>
      <c r="U4" s="26" t="n">
        <v>46294</v>
      </c>
      <c r="V4" s="26" t="n">
        <v>46295</v>
      </c>
      <c r="W4" s="25" t="s">
        <v>181</v>
      </c>
      <c r="X4" s="25" t="s">
        <v>22</v>
      </c>
    </row>
    <row r="5" customFormat="false" ht="15" hidden="false" customHeight="false" outlineLevel="0" collapsed="false">
      <c r="A5" s="25"/>
      <c r="B5" s="25"/>
      <c r="C5" s="25"/>
      <c r="D5" s="25" t="str">
        <f aca="false">MID("日月火水木金土",WEEKDAY(D4),1)</f>
        <v>火</v>
      </c>
      <c r="E5" s="25" t="str">
        <f aca="false">MID("日月火水木金土",WEEKDAY(E4),1)</f>
        <v>水</v>
      </c>
      <c r="F5" s="25" t="str">
        <f aca="false">MID("日月火水木金土",WEEKDAY(F4),1)</f>
        <v>木</v>
      </c>
      <c r="G5" s="25" t="str">
        <f aca="false">MID("日月火水木金土",WEEKDAY(G4),1)</f>
        <v>金</v>
      </c>
      <c r="H5" s="25" t="str">
        <f aca="false">MID("日月火水木金土",WEEKDAY(H4),1)</f>
        <v>月</v>
      </c>
      <c r="I5" s="25" t="str">
        <f aca="false">MID("日月火水木金土",WEEKDAY(I4),1)</f>
        <v>火</v>
      </c>
      <c r="J5" s="25" t="str">
        <f aca="false">MID("日月火水木金土",WEEKDAY(J4),1)</f>
        <v>水</v>
      </c>
      <c r="K5" s="25" t="str">
        <f aca="false">MID("日月火水木金土",WEEKDAY(K4),1)</f>
        <v>木</v>
      </c>
      <c r="L5" s="25" t="str">
        <f aca="false">MID("日月火水木金土",WEEKDAY(L4),1)</f>
        <v>金</v>
      </c>
      <c r="M5" s="25" t="str">
        <f aca="false">MID("日月火水木金土",WEEKDAY(M4),1)</f>
        <v>月</v>
      </c>
      <c r="N5" s="25" t="str">
        <f aca="false">MID("日月火水木金土",WEEKDAY(N4),1)</f>
        <v>火</v>
      </c>
      <c r="O5" s="25" t="str">
        <f aca="false">MID("日月火水木金土",WEEKDAY(O4),1)</f>
        <v>水</v>
      </c>
      <c r="P5" s="25" t="str">
        <f aca="false">MID("日月火水木金土",WEEKDAY(P4),1)</f>
        <v>木</v>
      </c>
      <c r="Q5" s="25" t="str">
        <f aca="false">MID("日月火水木金土",WEEKDAY(Q4),1)</f>
        <v>金</v>
      </c>
      <c r="R5" s="25" t="str">
        <f aca="false">MID("日月火水木金土",WEEKDAY(R4),1)</f>
        <v>木</v>
      </c>
      <c r="S5" s="25" t="str">
        <f aca="false">MID("日月火水木金土",WEEKDAY(S4),1)</f>
        <v>金</v>
      </c>
      <c r="T5" s="25" t="str">
        <f aca="false">MID("日月火水木金土",WEEKDAY(T4),1)</f>
        <v>月</v>
      </c>
      <c r="U5" s="25" t="str">
        <f aca="false">MID("日月火水木金土",WEEKDAY(U4),1)</f>
        <v>火</v>
      </c>
      <c r="V5" s="25" t="str">
        <f aca="false">MID("日月火水木金土",WEEKDAY(V4),1)</f>
        <v>水</v>
      </c>
      <c r="W5" s="25"/>
      <c r="X5" s="25"/>
    </row>
    <row r="6" customFormat="false" ht="15" hidden="false" customHeight="false" outlineLevel="0" collapsed="false">
      <c r="A6" s="27" t="s">
        <v>182</v>
      </c>
      <c r="B6" s="28" t="str">
        <f aca="false">INDEX(条文マスタ!$B$5:$B$24,MATCH($A6,条文マスタ!$A$5:$A$24,0))</f>
        <v>第1章 総則</v>
      </c>
      <c r="C6" s="28" t="str">
        <f aca="false">INDEX(条文マスタ!$C$5:$C$24,MATCH($A6,条文マスタ!$A$5:$A$24,0))</f>
        <v>管理技術者等（監督に関する業務の厳正な実施）</v>
      </c>
      <c r="D6" s="29" t="n">
        <f aca="false">COUNTIFS(条文別整理表!$A$9:$A$138,$A6,条文別整理表!$D$9:$D$138,D$4,条文別整理表!$C$9:$C$138,"&gt;0")</f>
        <v>0</v>
      </c>
      <c r="E6" s="29" t="n">
        <f aca="false">COUNTIFS(条文別整理表!$A$9:$A$138,$A6,条文別整理表!$D$9:$D$138,E$4,条文別整理表!$C$9:$C$138,"&gt;0")</f>
        <v>0</v>
      </c>
      <c r="F6" s="29" t="n">
        <f aca="false">COUNTIFS(条文別整理表!$A$9:$A$138,$A6,条文別整理表!$D$9:$D$138,F$4,条文別整理表!$C$9:$C$138,"&gt;0")</f>
        <v>0</v>
      </c>
      <c r="G6" s="29" t="n">
        <f aca="false">COUNTIFS(条文別整理表!$A$9:$A$138,$A6,条文別整理表!$D$9:$D$138,G$4,条文別整理表!$C$9:$C$138,"&gt;0")</f>
        <v>0</v>
      </c>
      <c r="H6" s="29" t="n">
        <f aca="false">COUNTIFS(条文別整理表!$A$9:$A$138,$A6,条文別整理表!$D$9:$D$138,H$4,条文別整理表!$C$9:$C$138,"&gt;0")</f>
        <v>1</v>
      </c>
      <c r="I6" s="29" t="n">
        <f aca="false">COUNTIFS(条文別整理表!$A$9:$A$138,$A6,条文別整理表!$D$9:$D$138,I$4,条文別整理表!$C$9:$C$138,"&gt;0")</f>
        <v>0</v>
      </c>
      <c r="J6" s="29" t="n">
        <f aca="false">COUNTIFS(条文別整理表!$A$9:$A$138,$A6,条文別整理表!$D$9:$D$138,J$4,条文別整理表!$C$9:$C$138,"&gt;0")</f>
        <v>0</v>
      </c>
      <c r="K6" s="29" t="n">
        <f aca="false">COUNTIFS(条文別整理表!$A$9:$A$138,$A6,条文別整理表!$D$9:$D$138,K$4,条文別整理表!$C$9:$C$138,"&gt;0")</f>
        <v>0</v>
      </c>
      <c r="L6" s="29" t="n">
        <f aca="false">COUNTIFS(条文別整理表!$A$9:$A$138,$A6,条文別整理表!$D$9:$D$138,L$4,条文別整理表!$C$9:$C$138,"&gt;0")</f>
        <v>0</v>
      </c>
      <c r="M6" s="29" t="n">
        <f aca="false">COUNTIFS(条文別整理表!$A$9:$A$138,$A6,条文別整理表!$D$9:$D$138,M$4,条文別整理表!$C$9:$C$138,"&gt;0")</f>
        <v>0</v>
      </c>
      <c r="N6" s="29" t="n">
        <f aca="false">COUNTIFS(条文別整理表!$A$9:$A$138,$A6,条文別整理表!$D$9:$D$138,N$4,条文別整理表!$C$9:$C$138,"&gt;0")</f>
        <v>0</v>
      </c>
      <c r="O6" s="29" t="n">
        <f aca="false">COUNTIFS(条文別整理表!$A$9:$A$138,$A6,条文別整理表!$D$9:$D$138,O$4,条文別整理表!$C$9:$C$138,"&gt;0")</f>
        <v>0</v>
      </c>
      <c r="P6" s="29" t="n">
        <f aca="false">COUNTIFS(条文別整理表!$A$9:$A$138,$A6,条文別整理表!$D$9:$D$138,P$4,条文別整理表!$C$9:$C$138,"&gt;0")</f>
        <v>0</v>
      </c>
      <c r="Q6" s="29" t="n">
        <f aca="false">COUNTIFS(条文別整理表!$A$9:$A$138,$A6,条文別整理表!$D$9:$D$138,Q$4,条文別整理表!$C$9:$C$138,"&gt;0")</f>
        <v>0</v>
      </c>
      <c r="R6" s="29" t="n">
        <f aca="false">COUNTIFS(条文別整理表!$A$9:$A$138,$A6,条文別整理表!$D$9:$D$138,R$4,条文別整理表!$C$9:$C$138,"&gt;0")</f>
        <v>0</v>
      </c>
      <c r="S6" s="29" t="n">
        <f aca="false">COUNTIFS(条文別整理表!$A$9:$A$138,$A6,条文別整理表!$D$9:$D$138,S$4,条文別整理表!$C$9:$C$138,"&gt;0")</f>
        <v>0</v>
      </c>
      <c r="T6" s="29" t="n">
        <f aca="false">COUNTIFS(条文別整理表!$A$9:$A$138,$A6,条文別整理表!$D$9:$D$138,T$4,条文別整理表!$C$9:$C$138,"&gt;0")</f>
        <v>0</v>
      </c>
      <c r="U6" s="29" t="n">
        <f aca="false">COUNTIFS(条文別整理表!$A$9:$A$138,$A6,条文別整理表!$D$9:$D$138,U$4,条文別整理表!$C$9:$C$138,"&gt;0")</f>
        <v>0</v>
      </c>
      <c r="V6" s="29" t="n">
        <f aca="false">COUNTIFS(条文別整理表!$A$9:$A$138,$A6,条文別整理表!$D$9:$D$138,V$4,条文別整理表!$C$9:$C$138,"&gt;0")</f>
        <v>0</v>
      </c>
      <c r="W6" s="30" t="n">
        <f aca="false">SUM(D6:V6)</f>
        <v>1</v>
      </c>
      <c r="X6" s="30" t="n">
        <f aca="false">COUNTIF(D6:V6,"&gt;0")</f>
        <v>1</v>
      </c>
    </row>
    <row r="7" customFormat="false" ht="15" hidden="false" customHeight="false" outlineLevel="0" collapsed="false">
      <c r="A7" s="27" t="s">
        <v>183</v>
      </c>
      <c r="B7" s="28" t="str">
        <f aca="false">INDEX(条文マスタ!$B$5:$B$24,MATCH($A7,条文マスタ!$A$5:$A$24,0))</f>
        <v>第1章 総則</v>
      </c>
      <c r="C7" s="28" t="str">
        <f aca="false">INDEX(条文マスタ!$C$5:$C$24,MATCH($A7,条文マスタ!$A$5:$A$24,0))</f>
        <v>管理技術者等（工事請負者等への連絡・通知）</v>
      </c>
      <c r="D7" s="29" t="n">
        <f aca="false">COUNTIFS(条文別整理表!$A$9:$A$138,$A7,条文別整理表!$D$9:$D$138,D$4,条文別整理表!$C$9:$C$138,"&gt;0")</f>
        <v>0</v>
      </c>
      <c r="E7" s="29" t="n">
        <f aca="false">COUNTIFS(条文別整理表!$A$9:$A$138,$A7,条文別整理表!$D$9:$D$138,E$4,条文別整理表!$C$9:$C$138,"&gt;0")</f>
        <v>0</v>
      </c>
      <c r="F7" s="29" t="n">
        <f aca="false">COUNTIFS(条文別整理表!$A$9:$A$138,$A7,条文別整理表!$D$9:$D$138,F$4,条文別整理表!$C$9:$C$138,"&gt;0")</f>
        <v>0</v>
      </c>
      <c r="G7" s="29" t="n">
        <f aca="false">COUNTIFS(条文別整理表!$A$9:$A$138,$A7,条文別整理表!$D$9:$D$138,G$4,条文別整理表!$C$9:$C$138,"&gt;0")</f>
        <v>0</v>
      </c>
      <c r="H7" s="29" t="n">
        <f aca="false">COUNTIFS(条文別整理表!$A$9:$A$138,$A7,条文別整理表!$D$9:$D$138,H$4,条文別整理表!$C$9:$C$138,"&gt;0")</f>
        <v>0</v>
      </c>
      <c r="I7" s="29" t="n">
        <f aca="false">COUNTIFS(条文別整理表!$A$9:$A$138,$A7,条文別整理表!$D$9:$D$138,I$4,条文別整理表!$C$9:$C$138,"&gt;0")</f>
        <v>0</v>
      </c>
      <c r="J7" s="29" t="n">
        <f aca="false">COUNTIFS(条文別整理表!$A$9:$A$138,$A7,条文別整理表!$D$9:$D$138,J$4,条文別整理表!$C$9:$C$138,"&gt;0")</f>
        <v>0</v>
      </c>
      <c r="K7" s="29" t="n">
        <f aca="false">COUNTIFS(条文別整理表!$A$9:$A$138,$A7,条文別整理表!$D$9:$D$138,K$4,条文別整理表!$C$9:$C$138,"&gt;0")</f>
        <v>0</v>
      </c>
      <c r="L7" s="29" t="n">
        <f aca="false">COUNTIFS(条文別整理表!$A$9:$A$138,$A7,条文別整理表!$D$9:$D$138,L$4,条文別整理表!$C$9:$C$138,"&gt;0")</f>
        <v>0</v>
      </c>
      <c r="M7" s="29" t="n">
        <f aca="false">COUNTIFS(条文別整理表!$A$9:$A$138,$A7,条文別整理表!$D$9:$D$138,M$4,条文別整理表!$C$9:$C$138,"&gt;0")</f>
        <v>1</v>
      </c>
      <c r="N7" s="29" t="n">
        <f aca="false">COUNTIFS(条文別整理表!$A$9:$A$138,$A7,条文別整理表!$D$9:$D$138,N$4,条文別整理表!$C$9:$C$138,"&gt;0")</f>
        <v>0</v>
      </c>
      <c r="O7" s="29" t="n">
        <f aca="false">COUNTIFS(条文別整理表!$A$9:$A$138,$A7,条文別整理表!$D$9:$D$138,O$4,条文別整理表!$C$9:$C$138,"&gt;0")</f>
        <v>0</v>
      </c>
      <c r="P7" s="29" t="n">
        <f aca="false">COUNTIFS(条文別整理表!$A$9:$A$138,$A7,条文別整理表!$D$9:$D$138,P$4,条文別整理表!$C$9:$C$138,"&gt;0")</f>
        <v>0</v>
      </c>
      <c r="Q7" s="29" t="n">
        <f aca="false">COUNTIFS(条文別整理表!$A$9:$A$138,$A7,条文別整理表!$D$9:$D$138,Q$4,条文別整理表!$C$9:$C$138,"&gt;0")</f>
        <v>0</v>
      </c>
      <c r="R7" s="29" t="n">
        <f aca="false">COUNTIFS(条文別整理表!$A$9:$A$138,$A7,条文別整理表!$D$9:$D$138,R$4,条文別整理表!$C$9:$C$138,"&gt;0")</f>
        <v>0</v>
      </c>
      <c r="S7" s="29" t="n">
        <f aca="false">COUNTIFS(条文別整理表!$A$9:$A$138,$A7,条文別整理表!$D$9:$D$138,S$4,条文別整理表!$C$9:$C$138,"&gt;0")</f>
        <v>0</v>
      </c>
      <c r="T7" s="29" t="n">
        <f aca="false">COUNTIFS(条文別整理表!$A$9:$A$138,$A7,条文別整理表!$D$9:$D$138,T$4,条文別整理表!$C$9:$C$138,"&gt;0")</f>
        <v>0</v>
      </c>
      <c r="U7" s="29" t="n">
        <f aca="false">COUNTIFS(条文別整理表!$A$9:$A$138,$A7,条文別整理表!$D$9:$D$138,U$4,条文別整理表!$C$9:$C$138,"&gt;0")</f>
        <v>1</v>
      </c>
      <c r="V7" s="29" t="n">
        <f aca="false">COUNTIFS(条文別整理表!$A$9:$A$138,$A7,条文別整理表!$D$9:$D$138,V$4,条文別整理表!$C$9:$C$138,"&gt;0")</f>
        <v>0</v>
      </c>
      <c r="W7" s="30" t="n">
        <f aca="false">SUM(D7:V7)</f>
        <v>2</v>
      </c>
      <c r="X7" s="30" t="n">
        <f aca="false">COUNTIF(D7:V7,"&gt;0")</f>
        <v>2</v>
      </c>
    </row>
    <row r="8" customFormat="false" ht="25.35" hidden="false" customHeight="false" outlineLevel="0" collapsed="false">
      <c r="A8" s="27" t="s">
        <v>184</v>
      </c>
      <c r="B8" s="28" t="str">
        <f aca="false">INDEX(条文マスタ!$B$5:$B$24,MATCH($A8,条文マスタ!$A$5:$A$24,0))</f>
        <v>第1章 総則</v>
      </c>
      <c r="C8" s="28" t="str">
        <f aca="false">INDEX(条文マスタ!$C$5:$C$24,MATCH($A8,条文マスタ!$A$5:$A$24,0))</f>
        <v>管理技術者等（設計図書の理解・現場状況の精通）</v>
      </c>
      <c r="D8" s="29" t="n">
        <f aca="false">COUNTIFS(条文別整理表!$A$9:$A$138,$A8,条文別整理表!$D$9:$D$138,D$4,条文別整理表!$C$9:$C$138,"&gt;0")</f>
        <v>0</v>
      </c>
      <c r="E8" s="29" t="n">
        <f aca="false">COUNTIFS(条文別整理表!$A$9:$A$138,$A8,条文別整理表!$D$9:$D$138,E$4,条文別整理表!$C$9:$C$138,"&gt;0")</f>
        <v>1</v>
      </c>
      <c r="F8" s="29" t="n">
        <f aca="false">COUNTIFS(条文別整理表!$A$9:$A$138,$A8,条文別整理表!$D$9:$D$138,F$4,条文別整理表!$C$9:$C$138,"&gt;0")</f>
        <v>0</v>
      </c>
      <c r="G8" s="29" t="n">
        <f aca="false">COUNTIFS(条文別整理表!$A$9:$A$138,$A8,条文別整理表!$D$9:$D$138,G$4,条文別整理表!$C$9:$C$138,"&gt;0")</f>
        <v>0</v>
      </c>
      <c r="H8" s="29" t="n">
        <f aca="false">COUNTIFS(条文別整理表!$A$9:$A$138,$A8,条文別整理表!$D$9:$D$138,H$4,条文別整理表!$C$9:$C$138,"&gt;0")</f>
        <v>0</v>
      </c>
      <c r="I8" s="29" t="n">
        <f aca="false">COUNTIFS(条文別整理表!$A$9:$A$138,$A8,条文別整理表!$D$9:$D$138,I$4,条文別整理表!$C$9:$C$138,"&gt;0")</f>
        <v>0</v>
      </c>
      <c r="J8" s="29" t="n">
        <f aca="false">COUNTIFS(条文別整理表!$A$9:$A$138,$A8,条文別整理表!$D$9:$D$138,J$4,条文別整理表!$C$9:$C$138,"&gt;0")</f>
        <v>0</v>
      </c>
      <c r="K8" s="29" t="n">
        <f aca="false">COUNTIFS(条文別整理表!$A$9:$A$138,$A8,条文別整理表!$D$9:$D$138,K$4,条文別整理表!$C$9:$C$138,"&gt;0")</f>
        <v>2</v>
      </c>
      <c r="L8" s="29" t="n">
        <f aca="false">COUNTIFS(条文別整理表!$A$9:$A$138,$A8,条文別整理表!$D$9:$D$138,L$4,条文別整理表!$C$9:$C$138,"&gt;0")</f>
        <v>0</v>
      </c>
      <c r="M8" s="29" t="n">
        <f aca="false">COUNTIFS(条文別整理表!$A$9:$A$138,$A8,条文別整理表!$D$9:$D$138,M$4,条文別整理表!$C$9:$C$138,"&gt;0")</f>
        <v>0</v>
      </c>
      <c r="N8" s="29" t="n">
        <f aca="false">COUNTIFS(条文別整理表!$A$9:$A$138,$A8,条文別整理表!$D$9:$D$138,N$4,条文別整理表!$C$9:$C$138,"&gt;0")</f>
        <v>1</v>
      </c>
      <c r="O8" s="29" t="n">
        <f aca="false">COUNTIFS(条文別整理表!$A$9:$A$138,$A8,条文別整理表!$D$9:$D$138,O$4,条文別整理表!$C$9:$C$138,"&gt;0")</f>
        <v>0</v>
      </c>
      <c r="P8" s="29" t="n">
        <f aca="false">COUNTIFS(条文別整理表!$A$9:$A$138,$A8,条文別整理表!$D$9:$D$138,P$4,条文別整理表!$C$9:$C$138,"&gt;0")</f>
        <v>0</v>
      </c>
      <c r="Q8" s="29" t="n">
        <f aca="false">COUNTIFS(条文別整理表!$A$9:$A$138,$A8,条文別整理表!$D$9:$D$138,Q$4,条文別整理表!$C$9:$C$138,"&gt;0")</f>
        <v>1</v>
      </c>
      <c r="R8" s="29" t="n">
        <f aca="false">COUNTIFS(条文別整理表!$A$9:$A$138,$A8,条文別整理表!$D$9:$D$138,R$4,条文別整理表!$C$9:$C$138,"&gt;0")</f>
        <v>0</v>
      </c>
      <c r="S8" s="29" t="n">
        <f aca="false">COUNTIFS(条文別整理表!$A$9:$A$138,$A8,条文別整理表!$D$9:$D$138,S$4,条文別整理表!$C$9:$C$138,"&gt;0")</f>
        <v>0</v>
      </c>
      <c r="T8" s="29" t="n">
        <f aca="false">COUNTIFS(条文別整理表!$A$9:$A$138,$A8,条文別整理表!$D$9:$D$138,T$4,条文別整理表!$C$9:$C$138,"&gt;0")</f>
        <v>0</v>
      </c>
      <c r="U8" s="29" t="n">
        <f aca="false">COUNTIFS(条文別整理表!$A$9:$A$138,$A8,条文別整理表!$D$9:$D$138,U$4,条文別整理表!$C$9:$C$138,"&gt;0")</f>
        <v>0</v>
      </c>
      <c r="V8" s="29" t="n">
        <f aca="false">COUNTIFS(条文別整理表!$A$9:$A$138,$A8,条文別整理表!$D$9:$D$138,V$4,条文別整理表!$C$9:$C$138,"&gt;0")</f>
        <v>0</v>
      </c>
      <c r="W8" s="30" t="n">
        <f aca="false">SUM(D8:V8)</f>
        <v>5</v>
      </c>
      <c r="X8" s="30" t="n">
        <f aca="false">COUNTIF(D8:V8,"&gt;0")</f>
        <v>4</v>
      </c>
    </row>
    <row r="9" customFormat="false" ht="15" hidden="false" customHeight="false" outlineLevel="0" collapsed="false">
      <c r="A9" s="27" t="s">
        <v>185</v>
      </c>
      <c r="B9" s="28" t="str">
        <f aca="false">INDEX(条文マスタ!$B$5:$B$24,MATCH($A9,条文マスタ!$A$5:$A$24,0))</f>
        <v>第1章 総則</v>
      </c>
      <c r="C9" s="28" t="str">
        <f aca="false">INDEX(条文マスタ!$C$5:$C$24,MATCH($A9,条文マスタ!$A$5:$A$24,0))</f>
        <v>管理技術者等（図書の整理）</v>
      </c>
      <c r="D9" s="29" t="n">
        <f aca="false">COUNTIFS(条文別整理表!$A$9:$A$138,$A9,条文別整理表!$D$9:$D$138,D$4,条文別整理表!$C$9:$C$138,"&gt;0")</f>
        <v>0</v>
      </c>
      <c r="E9" s="29" t="n">
        <f aca="false">COUNTIFS(条文別整理表!$A$9:$A$138,$A9,条文別整理表!$D$9:$D$138,E$4,条文別整理表!$C$9:$C$138,"&gt;0")</f>
        <v>0</v>
      </c>
      <c r="F9" s="29" t="n">
        <f aca="false">COUNTIFS(条文別整理表!$A$9:$A$138,$A9,条文別整理表!$D$9:$D$138,F$4,条文別整理表!$C$9:$C$138,"&gt;0")</f>
        <v>0</v>
      </c>
      <c r="G9" s="29" t="n">
        <f aca="false">COUNTIFS(条文別整理表!$A$9:$A$138,$A9,条文別整理表!$D$9:$D$138,G$4,条文別整理表!$C$9:$C$138,"&gt;0")</f>
        <v>0</v>
      </c>
      <c r="H9" s="29" t="n">
        <f aca="false">COUNTIFS(条文別整理表!$A$9:$A$138,$A9,条文別整理表!$D$9:$D$138,H$4,条文別整理表!$C$9:$C$138,"&gt;0")</f>
        <v>0</v>
      </c>
      <c r="I9" s="29" t="n">
        <f aca="false">COUNTIFS(条文別整理表!$A$9:$A$138,$A9,条文別整理表!$D$9:$D$138,I$4,条文別整理表!$C$9:$C$138,"&gt;0")</f>
        <v>0</v>
      </c>
      <c r="J9" s="29" t="n">
        <f aca="false">COUNTIFS(条文別整理表!$A$9:$A$138,$A9,条文別整理表!$D$9:$D$138,J$4,条文別整理表!$C$9:$C$138,"&gt;0")</f>
        <v>0</v>
      </c>
      <c r="K9" s="29" t="n">
        <f aca="false">COUNTIFS(条文別整理表!$A$9:$A$138,$A9,条文別整理表!$D$9:$D$138,K$4,条文別整理表!$C$9:$C$138,"&gt;0")</f>
        <v>0</v>
      </c>
      <c r="L9" s="29" t="n">
        <f aca="false">COUNTIFS(条文別整理表!$A$9:$A$138,$A9,条文別整理表!$D$9:$D$138,L$4,条文別整理表!$C$9:$C$138,"&gt;0")</f>
        <v>0</v>
      </c>
      <c r="M9" s="29" t="n">
        <f aca="false">COUNTIFS(条文別整理表!$A$9:$A$138,$A9,条文別整理表!$D$9:$D$138,M$4,条文別整理表!$C$9:$C$138,"&gt;0")</f>
        <v>0</v>
      </c>
      <c r="N9" s="29" t="n">
        <f aca="false">COUNTIFS(条文別整理表!$A$9:$A$138,$A9,条文別整理表!$D$9:$D$138,N$4,条文別整理表!$C$9:$C$138,"&gt;0")</f>
        <v>0</v>
      </c>
      <c r="O9" s="29" t="n">
        <f aca="false">COUNTIFS(条文別整理表!$A$9:$A$138,$A9,条文別整理表!$D$9:$D$138,O$4,条文別整理表!$C$9:$C$138,"&gt;0")</f>
        <v>0</v>
      </c>
      <c r="P9" s="29" t="n">
        <f aca="false">COUNTIFS(条文別整理表!$A$9:$A$138,$A9,条文別整理表!$D$9:$D$138,P$4,条文別整理表!$C$9:$C$138,"&gt;0")</f>
        <v>0</v>
      </c>
      <c r="Q9" s="29" t="n">
        <f aca="false">COUNTIFS(条文別整理表!$A$9:$A$138,$A9,条文別整理表!$D$9:$D$138,Q$4,条文別整理表!$C$9:$C$138,"&gt;0")</f>
        <v>0</v>
      </c>
      <c r="R9" s="29" t="n">
        <f aca="false">COUNTIFS(条文別整理表!$A$9:$A$138,$A9,条文別整理表!$D$9:$D$138,R$4,条文別整理表!$C$9:$C$138,"&gt;0")</f>
        <v>0</v>
      </c>
      <c r="S9" s="29" t="n">
        <f aca="false">COUNTIFS(条文別整理表!$A$9:$A$138,$A9,条文別整理表!$D$9:$D$138,S$4,条文別整理表!$C$9:$C$138,"&gt;0")</f>
        <v>2</v>
      </c>
      <c r="T9" s="29" t="n">
        <f aca="false">COUNTIFS(条文別整理表!$A$9:$A$138,$A9,条文別整理表!$D$9:$D$138,T$4,条文別整理表!$C$9:$C$138,"&gt;0")</f>
        <v>2</v>
      </c>
      <c r="U9" s="29" t="n">
        <f aca="false">COUNTIFS(条文別整理表!$A$9:$A$138,$A9,条文別整理表!$D$9:$D$138,U$4,条文別整理表!$C$9:$C$138,"&gt;0")</f>
        <v>0</v>
      </c>
      <c r="V9" s="29" t="n">
        <f aca="false">COUNTIFS(条文別整理表!$A$9:$A$138,$A9,条文別整理表!$D$9:$D$138,V$4,条文別整理表!$C$9:$C$138,"&gt;0")</f>
        <v>0</v>
      </c>
      <c r="W9" s="30" t="n">
        <f aca="false">SUM(D9:V9)</f>
        <v>4</v>
      </c>
      <c r="X9" s="30" t="n">
        <f aca="false">COUNTIF(D9:V9,"&gt;0")</f>
        <v>2</v>
      </c>
    </row>
    <row r="10" customFormat="false" ht="15" hidden="false" customHeight="false" outlineLevel="0" collapsed="false">
      <c r="A10" s="27" t="s">
        <v>186</v>
      </c>
      <c r="B10" s="28" t="str">
        <f aca="false">INDEX(条文マスタ!$B$5:$B$24,MATCH($A10,条文マスタ!$A$5:$A$24,0))</f>
        <v>第1章 総則</v>
      </c>
      <c r="C10" s="28" t="str">
        <f aca="false">INDEX(条文マスタ!$C$5:$C$24,MATCH($A10,条文マスタ!$A$5:$A$24,0))</f>
        <v>管理技術者等（監督職員との打合せ・協議）</v>
      </c>
      <c r="D10" s="29" t="n">
        <f aca="false">COUNTIFS(条文別整理表!$A$9:$A$138,$A10,条文別整理表!$D$9:$D$138,D$4,条文別整理表!$C$9:$C$138,"&gt;0")</f>
        <v>0</v>
      </c>
      <c r="E10" s="29" t="n">
        <f aca="false">COUNTIFS(条文別整理表!$A$9:$A$138,$A10,条文別整理表!$D$9:$D$138,E$4,条文別整理表!$C$9:$C$138,"&gt;0")</f>
        <v>0</v>
      </c>
      <c r="F10" s="29" t="n">
        <f aca="false">COUNTIFS(条文別整理表!$A$9:$A$138,$A10,条文別整理表!$D$9:$D$138,F$4,条文別整理表!$C$9:$C$138,"&gt;0")</f>
        <v>0</v>
      </c>
      <c r="G10" s="29" t="n">
        <f aca="false">COUNTIFS(条文別整理表!$A$9:$A$138,$A10,条文別整理表!$D$9:$D$138,G$4,条文別整理表!$C$9:$C$138,"&gt;0")</f>
        <v>0</v>
      </c>
      <c r="H10" s="29" t="n">
        <f aca="false">COUNTIFS(条文別整理表!$A$9:$A$138,$A10,条文別整理表!$D$9:$D$138,H$4,条文別整理表!$C$9:$C$138,"&gt;0")</f>
        <v>0</v>
      </c>
      <c r="I10" s="29" t="n">
        <f aca="false">COUNTIFS(条文別整理表!$A$9:$A$138,$A10,条文別整理表!$D$9:$D$138,I$4,条文別整理表!$C$9:$C$138,"&gt;0")</f>
        <v>0</v>
      </c>
      <c r="J10" s="29" t="n">
        <f aca="false">COUNTIFS(条文別整理表!$A$9:$A$138,$A10,条文別整理表!$D$9:$D$138,J$4,条文別整理表!$C$9:$C$138,"&gt;0")</f>
        <v>0</v>
      </c>
      <c r="K10" s="29" t="n">
        <f aca="false">COUNTIFS(条文別整理表!$A$9:$A$138,$A10,条文別整理表!$D$9:$D$138,K$4,条文別整理表!$C$9:$C$138,"&gt;0")</f>
        <v>0</v>
      </c>
      <c r="L10" s="29" t="n">
        <f aca="false">COUNTIFS(条文別整理表!$A$9:$A$138,$A10,条文別整理表!$D$9:$D$138,L$4,条文別整理表!$C$9:$C$138,"&gt;0")</f>
        <v>0</v>
      </c>
      <c r="M10" s="29" t="n">
        <f aca="false">COUNTIFS(条文別整理表!$A$9:$A$138,$A10,条文別整理表!$D$9:$D$138,M$4,条文別整理表!$C$9:$C$138,"&gt;0")</f>
        <v>0</v>
      </c>
      <c r="N10" s="29" t="n">
        <f aca="false">COUNTIFS(条文別整理表!$A$9:$A$138,$A10,条文別整理表!$D$9:$D$138,N$4,条文別整理表!$C$9:$C$138,"&gt;0")</f>
        <v>0</v>
      </c>
      <c r="O10" s="29" t="n">
        <f aca="false">COUNTIFS(条文別整理表!$A$9:$A$138,$A10,条文別整理表!$D$9:$D$138,O$4,条文別整理表!$C$9:$C$138,"&gt;0")</f>
        <v>0</v>
      </c>
      <c r="P10" s="29" t="n">
        <f aca="false">COUNTIFS(条文別整理表!$A$9:$A$138,$A10,条文別整理表!$D$9:$D$138,P$4,条文別整理表!$C$9:$C$138,"&gt;0")</f>
        <v>0</v>
      </c>
      <c r="Q10" s="29" t="n">
        <f aca="false">COUNTIFS(条文別整理表!$A$9:$A$138,$A10,条文別整理表!$D$9:$D$138,Q$4,条文別整理表!$C$9:$C$138,"&gt;0")</f>
        <v>0</v>
      </c>
      <c r="R10" s="29" t="n">
        <f aca="false">COUNTIFS(条文別整理表!$A$9:$A$138,$A10,条文別整理表!$D$9:$D$138,R$4,条文別整理表!$C$9:$C$138,"&gt;0")</f>
        <v>0</v>
      </c>
      <c r="S10" s="29" t="n">
        <f aca="false">COUNTIFS(条文別整理表!$A$9:$A$138,$A10,条文別整理表!$D$9:$D$138,S$4,条文別整理表!$C$9:$C$138,"&gt;0")</f>
        <v>0</v>
      </c>
      <c r="T10" s="29" t="n">
        <f aca="false">COUNTIFS(条文別整理表!$A$9:$A$138,$A10,条文別整理表!$D$9:$D$138,T$4,条文別整理表!$C$9:$C$138,"&gt;0")</f>
        <v>0</v>
      </c>
      <c r="U10" s="29" t="n">
        <f aca="false">COUNTIFS(条文別整理表!$A$9:$A$138,$A10,条文別整理表!$D$9:$D$138,U$4,条文別整理表!$C$9:$C$138,"&gt;0")</f>
        <v>0</v>
      </c>
      <c r="V10" s="29" t="n">
        <f aca="false">COUNTIFS(条文別整理表!$A$9:$A$138,$A10,条文別整理表!$D$9:$D$138,V$4,条文別整理表!$C$9:$C$138,"&gt;0")</f>
        <v>0</v>
      </c>
      <c r="W10" s="30" t="n">
        <f aca="false">SUM(D10:V10)</f>
        <v>0</v>
      </c>
      <c r="X10" s="30" t="n">
        <f aca="false">COUNTIF(D10:V10,"&gt;0")</f>
        <v>0</v>
      </c>
    </row>
    <row r="11" customFormat="false" ht="15" hidden="false" customHeight="false" outlineLevel="0" collapsed="false">
      <c r="A11" s="27" t="s">
        <v>187</v>
      </c>
      <c r="B11" s="28" t="str">
        <f aca="false">INDEX(条文マスタ!$B$5:$B$24,MATCH($A11,条文マスタ!$A$5:$A$24,0))</f>
        <v>第1章 総則</v>
      </c>
      <c r="C11" s="28" t="str">
        <f aca="false">INDEX(条文マスタ!$C$5:$C$24,MATCH($A11,条文マスタ!$A$5:$A$24,0))</f>
        <v>業務処理予定表及び結果報告書</v>
      </c>
      <c r="D11" s="29" t="n">
        <f aca="false">COUNTIFS(条文別整理表!$A$9:$A$138,$A11,条文別整理表!$D$9:$D$138,D$4,条文別整理表!$C$9:$C$138,"&gt;0")</f>
        <v>1</v>
      </c>
      <c r="E11" s="29" t="n">
        <f aca="false">COUNTIFS(条文別整理表!$A$9:$A$138,$A11,条文別整理表!$D$9:$D$138,E$4,条文別整理表!$C$9:$C$138,"&gt;0")</f>
        <v>2</v>
      </c>
      <c r="F11" s="29" t="n">
        <f aca="false">COUNTIFS(条文別整理表!$A$9:$A$138,$A11,条文別整理表!$D$9:$D$138,F$4,条文別整理表!$C$9:$C$138,"&gt;0")</f>
        <v>1</v>
      </c>
      <c r="G11" s="29" t="n">
        <f aca="false">COUNTIFS(条文別整理表!$A$9:$A$138,$A11,条文別整理表!$D$9:$D$138,G$4,条文別整理表!$C$9:$C$138,"&gt;0")</f>
        <v>1</v>
      </c>
      <c r="H11" s="29" t="n">
        <f aca="false">COUNTIFS(条文別整理表!$A$9:$A$138,$A11,条文別整理表!$D$9:$D$138,H$4,条文別整理表!$C$9:$C$138,"&gt;0")</f>
        <v>1</v>
      </c>
      <c r="I11" s="29" t="n">
        <f aca="false">COUNTIFS(条文別整理表!$A$9:$A$138,$A11,条文別整理表!$D$9:$D$138,I$4,条文別整理表!$C$9:$C$138,"&gt;0")</f>
        <v>1</v>
      </c>
      <c r="J11" s="29" t="n">
        <f aca="false">COUNTIFS(条文別整理表!$A$9:$A$138,$A11,条文別整理表!$D$9:$D$138,J$4,条文別整理表!$C$9:$C$138,"&gt;0")</f>
        <v>1</v>
      </c>
      <c r="K11" s="29" t="n">
        <f aca="false">COUNTIFS(条文別整理表!$A$9:$A$138,$A11,条文別整理表!$D$9:$D$138,K$4,条文別整理表!$C$9:$C$138,"&gt;0")</f>
        <v>1</v>
      </c>
      <c r="L11" s="29" t="n">
        <f aca="false">COUNTIFS(条文別整理表!$A$9:$A$138,$A11,条文別整理表!$D$9:$D$138,L$4,条文別整理表!$C$9:$C$138,"&gt;0")</f>
        <v>1</v>
      </c>
      <c r="M11" s="29" t="n">
        <f aca="false">COUNTIFS(条文別整理表!$A$9:$A$138,$A11,条文別整理表!$D$9:$D$138,M$4,条文別整理表!$C$9:$C$138,"&gt;0")</f>
        <v>1</v>
      </c>
      <c r="N11" s="29" t="n">
        <f aca="false">COUNTIFS(条文別整理表!$A$9:$A$138,$A11,条文別整理表!$D$9:$D$138,N$4,条文別整理表!$C$9:$C$138,"&gt;0")</f>
        <v>1</v>
      </c>
      <c r="O11" s="29" t="n">
        <f aca="false">COUNTIFS(条文別整理表!$A$9:$A$138,$A11,条文別整理表!$D$9:$D$138,O$4,条文別整理表!$C$9:$C$138,"&gt;0")</f>
        <v>1</v>
      </c>
      <c r="P11" s="29" t="n">
        <f aca="false">COUNTIFS(条文別整理表!$A$9:$A$138,$A11,条文別整理表!$D$9:$D$138,P$4,条文別整理表!$C$9:$C$138,"&gt;0")</f>
        <v>1</v>
      </c>
      <c r="Q11" s="29" t="n">
        <f aca="false">COUNTIFS(条文別整理表!$A$9:$A$138,$A11,条文別整理表!$D$9:$D$138,Q$4,条文別整理表!$C$9:$C$138,"&gt;0")</f>
        <v>1</v>
      </c>
      <c r="R11" s="29" t="n">
        <f aca="false">COUNTIFS(条文別整理表!$A$9:$A$138,$A11,条文別整理表!$D$9:$D$138,R$4,条文別整理表!$C$9:$C$138,"&gt;0")</f>
        <v>1</v>
      </c>
      <c r="S11" s="29" t="n">
        <f aca="false">COUNTIFS(条文別整理表!$A$9:$A$138,$A11,条文別整理表!$D$9:$D$138,S$4,条文別整理表!$C$9:$C$138,"&gt;0")</f>
        <v>1</v>
      </c>
      <c r="T11" s="29" t="n">
        <f aca="false">COUNTIFS(条文別整理表!$A$9:$A$138,$A11,条文別整理表!$D$9:$D$138,T$4,条文別整理表!$C$9:$C$138,"&gt;0")</f>
        <v>1</v>
      </c>
      <c r="U11" s="29" t="n">
        <f aca="false">COUNTIFS(条文別整理表!$A$9:$A$138,$A11,条文別整理表!$D$9:$D$138,U$4,条文別整理表!$C$9:$C$138,"&gt;0")</f>
        <v>1</v>
      </c>
      <c r="V11" s="29" t="n">
        <f aca="false">COUNTIFS(条文別整理表!$A$9:$A$138,$A11,条文別整理表!$D$9:$D$138,V$4,条文別整理表!$C$9:$C$138,"&gt;0")</f>
        <v>1</v>
      </c>
      <c r="W11" s="30" t="n">
        <f aca="false">SUM(D11:V11)</f>
        <v>20</v>
      </c>
      <c r="X11" s="30" t="n">
        <f aca="false">COUNTIF(D11:V11,"&gt;0")</f>
        <v>19</v>
      </c>
    </row>
    <row r="12" customFormat="false" ht="15" hidden="false" customHeight="false" outlineLevel="0" collapsed="false">
      <c r="A12" s="27" t="s">
        <v>188</v>
      </c>
      <c r="B12" s="28" t="str">
        <f aca="false">INDEX(条文マスタ!$B$5:$B$24,MATCH($A12,条文マスタ!$A$5:$A$24,0))</f>
        <v>第1章 総則</v>
      </c>
      <c r="C12" s="28" t="str">
        <f aca="false">INDEX(条文マスタ!$C$5:$C$24,MATCH($A12,条文マスタ!$A$5:$A$24,0))</f>
        <v>業務完了時の提出書類</v>
      </c>
      <c r="D12" s="29" t="n">
        <f aca="false">COUNTIFS(条文別整理表!$A$9:$A$138,$A12,条文別整理表!$D$9:$D$138,D$4,条文別整理表!$C$9:$C$138,"&gt;0")</f>
        <v>0</v>
      </c>
      <c r="E12" s="29" t="n">
        <f aca="false">COUNTIFS(条文別整理表!$A$9:$A$138,$A12,条文別整理表!$D$9:$D$138,E$4,条文別整理表!$C$9:$C$138,"&gt;0")</f>
        <v>0</v>
      </c>
      <c r="F12" s="29" t="n">
        <f aca="false">COUNTIFS(条文別整理表!$A$9:$A$138,$A12,条文別整理表!$D$9:$D$138,F$4,条文別整理表!$C$9:$C$138,"&gt;0")</f>
        <v>0</v>
      </c>
      <c r="G12" s="29" t="n">
        <f aca="false">COUNTIFS(条文別整理表!$A$9:$A$138,$A12,条文別整理表!$D$9:$D$138,G$4,条文別整理表!$C$9:$C$138,"&gt;0")</f>
        <v>0</v>
      </c>
      <c r="H12" s="29" t="n">
        <f aca="false">COUNTIFS(条文別整理表!$A$9:$A$138,$A12,条文別整理表!$D$9:$D$138,H$4,条文別整理表!$C$9:$C$138,"&gt;0")</f>
        <v>0</v>
      </c>
      <c r="I12" s="29" t="n">
        <f aca="false">COUNTIFS(条文別整理表!$A$9:$A$138,$A12,条文別整理表!$D$9:$D$138,I$4,条文別整理表!$C$9:$C$138,"&gt;0")</f>
        <v>0</v>
      </c>
      <c r="J12" s="29" t="n">
        <f aca="false">COUNTIFS(条文別整理表!$A$9:$A$138,$A12,条文別整理表!$D$9:$D$138,J$4,条文別整理表!$C$9:$C$138,"&gt;0")</f>
        <v>0</v>
      </c>
      <c r="K12" s="29" t="n">
        <f aca="false">COUNTIFS(条文別整理表!$A$9:$A$138,$A12,条文別整理表!$D$9:$D$138,K$4,条文別整理表!$C$9:$C$138,"&gt;0")</f>
        <v>0</v>
      </c>
      <c r="L12" s="29" t="n">
        <f aca="false">COUNTIFS(条文別整理表!$A$9:$A$138,$A12,条文別整理表!$D$9:$D$138,L$4,条文別整理表!$C$9:$C$138,"&gt;0")</f>
        <v>0</v>
      </c>
      <c r="M12" s="29" t="n">
        <f aca="false">COUNTIFS(条文別整理表!$A$9:$A$138,$A12,条文別整理表!$D$9:$D$138,M$4,条文別整理表!$C$9:$C$138,"&gt;0")</f>
        <v>0</v>
      </c>
      <c r="N12" s="29" t="n">
        <f aca="false">COUNTIFS(条文別整理表!$A$9:$A$138,$A12,条文別整理表!$D$9:$D$138,N$4,条文別整理表!$C$9:$C$138,"&gt;0")</f>
        <v>0</v>
      </c>
      <c r="O12" s="29" t="n">
        <f aca="false">COUNTIFS(条文別整理表!$A$9:$A$138,$A12,条文別整理表!$D$9:$D$138,O$4,条文別整理表!$C$9:$C$138,"&gt;0")</f>
        <v>0</v>
      </c>
      <c r="P12" s="29" t="n">
        <f aca="false">COUNTIFS(条文別整理表!$A$9:$A$138,$A12,条文別整理表!$D$9:$D$138,P$4,条文別整理表!$C$9:$C$138,"&gt;0")</f>
        <v>0</v>
      </c>
      <c r="Q12" s="29" t="n">
        <f aca="false">COUNTIFS(条文別整理表!$A$9:$A$138,$A12,条文別整理表!$D$9:$D$138,Q$4,条文別整理表!$C$9:$C$138,"&gt;0")</f>
        <v>0</v>
      </c>
      <c r="R12" s="29" t="n">
        <f aca="false">COUNTIFS(条文別整理表!$A$9:$A$138,$A12,条文別整理表!$D$9:$D$138,R$4,条文別整理表!$C$9:$C$138,"&gt;0")</f>
        <v>0</v>
      </c>
      <c r="S12" s="29" t="n">
        <f aca="false">COUNTIFS(条文別整理表!$A$9:$A$138,$A12,条文別整理表!$D$9:$D$138,S$4,条文別整理表!$C$9:$C$138,"&gt;0")</f>
        <v>0</v>
      </c>
      <c r="T12" s="29" t="n">
        <f aca="false">COUNTIFS(条文別整理表!$A$9:$A$138,$A12,条文別整理表!$D$9:$D$138,T$4,条文別整理表!$C$9:$C$138,"&gt;0")</f>
        <v>0</v>
      </c>
      <c r="U12" s="29" t="n">
        <f aca="false">COUNTIFS(条文別整理表!$A$9:$A$138,$A12,条文別整理表!$D$9:$D$138,U$4,条文別整理表!$C$9:$C$138,"&gt;0")</f>
        <v>0</v>
      </c>
      <c r="V12" s="29" t="n">
        <f aca="false">COUNTIFS(条文別整理表!$A$9:$A$138,$A12,条文別整理表!$D$9:$D$138,V$4,条文別整理表!$C$9:$C$138,"&gt;0")</f>
        <v>0</v>
      </c>
      <c r="W12" s="30" t="n">
        <f aca="false">SUM(D12:V12)</f>
        <v>0</v>
      </c>
      <c r="X12" s="30" t="n">
        <f aca="false">COUNTIF(D12:V12,"&gt;0")</f>
        <v>0</v>
      </c>
    </row>
    <row r="13" customFormat="false" ht="25.35" hidden="false" customHeight="false" outlineLevel="0" collapsed="false">
      <c r="A13" s="27" t="s">
        <v>189</v>
      </c>
      <c r="B13" s="28" t="str">
        <f aca="false">INDEX(条文マスタ!$B$5:$B$24,MATCH($A13,条文マスタ!$A$5:$A$24,0))</f>
        <v>第2章 監督に関する現場技術業務</v>
      </c>
      <c r="C13" s="28" t="str">
        <f aca="false">INDEX(条文マスタ!$C$5:$C$24,MATCH($A13,条文マスタ!$A$5:$A$24,0))</f>
        <v>書類の確認</v>
      </c>
      <c r="D13" s="29" t="n">
        <f aca="false">COUNTIFS(条文別整理表!$A$9:$A$138,$A13,条文別整理表!$D$9:$D$138,D$4,条文別整理表!$C$9:$C$138,"&gt;0")</f>
        <v>4</v>
      </c>
      <c r="E13" s="29" t="n">
        <f aca="false">COUNTIFS(条文別整理表!$A$9:$A$138,$A13,条文別整理表!$D$9:$D$138,E$4,条文別整理表!$C$9:$C$138,"&gt;0")</f>
        <v>2</v>
      </c>
      <c r="F13" s="29" t="n">
        <f aca="false">COUNTIFS(条文別整理表!$A$9:$A$138,$A13,条文別整理表!$D$9:$D$138,F$4,条文別整理表!$C$9:$C$138,"&gt;0")</f>
        <v>0</v>
      </c>
      <c r="G13" s="29" t="n">
        <f aca="false">COUNTIFS(条文別整理表!$A$9:$A$138,$A13,条文別整理表!$D$9:$D$138,G$4,条文別整理表!$C$9:$C$138,"&gt;0")</f>
        <v>0</v>
      </c>
      <c r="H13" s="29" t="n">
        <f aca="false">COUNTIFS(条文別整理表!$A$9:$A$138,$A13,条文別整理表!$D$9:$D$138,H$4,条文別整理表!$C$9:$C$138,"&gt;0")</f>
        <v>2</v>
      </c>
      <c r="I13" s="29" t="n">
        <f aca="false">COUNTIFS(条文別整理表!$A$9:$A$138,$A13,条文別整理表!$D$9:$D$138,I$4,条文別整理表!$C$9:$C$138,"&gt;0")</f>
        <v>1</v>
      </c>
      <c r="J13" s="29" t="n">
        <f aca="false">COUNTIFS(条文別整理表!$A$9:$A$138,$A13,条文別整理表!$D$9:$D$138,J$4,条文別整理表!$C$9:$C$138,"&gt;0")</f>
        <v>2</v>
      </c>
      <c r="K13" s="29" t="n">
        <f aca="false">COUNTIFS(条文別整理表!$A$9:$A$138,$A13,条文別整理表!$D$9:$D$138,K$4,条文別整理表!$C$9:$C$138,"&gt;0")</f>
        <v>0</v>
      </c>
      <c r="L13" s="29" t="n">
        <f aca="false">COUNTIFS(条文別整理表!$A$9:$A$138,$A13,条文別整理表!$D$9:$D$138,L$4,条文別整理表!$C$9:$C$138,"&gt;0")</f>
        <v>0</v>
      </c>
      <c r="M13" s="29" t="n">
        <f aca="false">COUNTIFS(条文別整理表!$A$9:$A$138,$A13,条文別整理表!$D$9:$D$138,M$4,条文別整理表!$C$9:$C$138,"&gt;0")</f>
        <v>3</v>
      </c>
      <c r="N13" s="29" t="n">
        <f aca="false">COUNTIFS(条文別整理表!$A$9:$A$138,$A13,条文別整理表!$D$9:$D$138,N$4,条文別整理表!$C$9:$C$138,"&gt;0")</f>
        <v>4</v>
      </c>
      <c r="O13" s="29" t="n">
        <f aca="false">COUNTIFS(条文別整理表!$A$9:$A$138,$A13,条文別整理表!$D$9:$D$138,O$4,条文別整理表!$C$9:$C$138,"&gt;0")</f>
        <v>3</v>
      </c>
      <c r="P13" s="29" t="n">
        <f aca="false">COUNTIFS(条文別整理表!$A$9:$A$138,$A13,条文別整理表!$D$9:$D$138,P$4,条文別整理表!$C$9:$C$138,"&gt;0")</f>
        <v>0</v>
      </c>
      <c r="Q13" s="29" t="n">
        <f aca="false">COUNTIFS(条文別整理表!$A$9:$A$138,$A13,条文別整理表!$D$9:$D$138,Q$4,条文別整理表!$C$9:$C$138,"&gt;0")</f>
        <v>0</v>
      </c>
      <c r="R13" s="29" t="n">
        <f aca="false">COUNTIFS(条文別整理表!$A$9:$A$138,$A13,条文別整理表!$D$9:$D$138,R$4,条文別整理表!$C$9:$C$138,"&gt;0")</f>
        <v>0</v>
      </c>
      <c r="S13" s="29" t="n">
        <f aca="false">COUNTIFS(条文別整理表!$A$9:$A$138,$A13,条文別整理表!$D$9:$D$138,S$4,条文別整理表!$C$9:$C$138,"&gt;0")</f>
        <v>0</v>
      </c>
      <c r="T13" s="29" t="n">
        <f aca="false">COUNTIFS(条文別整理表!$A$9:$A$138,$A13,条文別整理表!$D$9:$D$138,T$4,条文別整理表!$C$9:$C$138,"&gt;0")</f>
        <v>1</v>
      </c>
      <c r="U13" s="29" t="n">
        <f aca="false">COUNTIFS(条文別整理表!$A$9:$A$138,$A13,条文別整理表!$D$9:$D$138,U$4,条文別整理表!$C$9:$C$138,"&gt;0")</f>
        <v>0</v>
      </c>
      <c r="V13" s="29" t="n">
        <f aca="false">COUNTIFS(条文別整理表!$A$9:$A$138,$A13,条文別整理表!$D$9:$D$138,V$4,条文別整理表!$C$9:$C$138,"&gt;0")</f>
        <v>0</v>
      </c>
      <c r="W13" s="30" t="n">
        <f aca="false">SUM(D13:V13)</f>
        <v>22</v>
      </c>
      <c r="X13" s="30" t="n">
        <f aca="false">COUNTIF(D13:V13,"&gt;0")</f>
        <v>9</v>
      </c>
    </row>
    <row r="14" customFormat="false" ht="25.35" hidden="false" customHeight="false" outlineLevel="0" collapsed="false">
      <c r="A14" s="27" t="s">
        <v>190</v>
      </c>
      <c r="B14" s="28" t="str">
        <f aca="false">INDEX(条文マスタ!$B$5:$B$24,MATCH($A14,条文マスタ!$A$5:$A$24,0))</f>
        <v>第2章 監督に関する現場技術業務</v>
      </c>
      <c r="C14" s="28" t="str">
        <f aca="false">INDEX(条文マスタ!$C$5:$C$24,MATCH($A14,条文マスタ!$A$5:$A$24,0))</f>
        <v>立会</v>
      </c>
      <c r="D14" s="29" t="n">
        <f aca="false">COUNTIFS(条文別整理表!$A$9:$A$138,$A14,条文別整理表!$D$9:$D$138,D$4,条文別整理表!$C$9:$C$138,"&gt;0")</f>
        <v>0</v>
      </c>
      <c r="E14" s="29" t="n">
        <f aca="false">COUNTIFS(条文別整理表!$A$9:$A$138,$A14,条文別整理表!$D$9:$D$138,E$4,条文別整理表!$C$9:$C$138,"&gt;0")</f>
        <v>0</v>
      </c>
      <c r="F14" s="29" t="n">
        <f aca="false">COUNTIFS(条文別整理表!$A$9:$A$138,$A14,条文別整理表!$D$9:$D$138,F$4,条文別整理表!$C$9:$C$138,"&gt;0")</f>
        <v>2</v>
      </c>
      <c r="G14" s="29" t="n">
        <f aca="false">COUNTIFS(条文別整理表!$A$9:$A$138,$A14,条文別整理表!$D$9:$D$138,G$4,条文別整理表!$C$9:$C$138,"&gt;0")</f>
        <v>0</v>
      </c>
      <c r="H14" s="29" t="n">
        <f aca="false">COUNTIFS(条文別整理表!$A$9:$A$138,$A14,条文別整理表!$D$9:$D$138,H$4,条文別整理表!$C$9:$C$138,"&gt;0")</f>
        <v>1</v>
      </c>
      <c r="I14" s="29" t="n">
        <f aca="false">COUNTIFS(条文別整理表!$A$9:$A$138,$A14,条文別整理表!$D$9:$D$138,I$4,条文別整理表!$C$9:$C$138,"&gt;0")</f>
        <v>2</v>
      </c>
      <c r="J14" s="29" t="n">
        <f aca="false">COUNTIFS(条文別整理表!$A$9:$A$138,$A14,条文別整理表!$D$9:$D$138,J$4,条文別整理表!$C$9:$C$138,"&gt;0")</f>
        <v>0</v>
      </c>
      <c r="K14" s="29" t="n">
        <f aca="false">COUNTIFS(条文別整理表!$A$9:$A$138,$A14,条文別整理表!$D$9:$D$138,K$4,条文別整理表!$C$9:$C$138,"&gt;0")</f>
        <v>0</v>
      </c>
      <c r="L14" s="29" t="n">
        <f aca="false">COUNTIFS(条文別整理表!$A$9:$A$138,$A14,条文別整理表!$D$9:$D$138,L$4,条文別整理表!$C$9:$C$138,"&gt;0")</f>
        <v>0</v>
      </c>
      <c r="M14" s="29" t="n">
        <f aca="false">COUNTIFS(条文別整理表!$A$9:$A$138,$A14,条文別整理表!$D$9:$D$138,M$4,条文別整理表!$C$9:$C$138,"&gt;0")</f>
        <v>0</v>
      </c>
      <c r="N14" s="29" t="n">
        <f aca="false">COUNTIFS(条文別整理表!$A$9:$A$138,$A14,条文別整理表!$D$9:$D$138,N$4,条文別整理表!$C$9:$C$138,"&gt;0")</f>
        <v>0</v>
      </c>
      <c r="O14" s="29" t="n">
        <f aca="false">COUNTIFS(条文別整理表!$A$9:$A$138,$A14,条文別整理表!$D$9:$D$138,O$4,条文別整理表!$C$9:$C$138,"&gt;0")</f>
        <v>0</v>
      </c>
      <c r="P14" s="29" t="n">
        <f aca="false">COUNTIFS(条文別整理表!$A$9:$A$138,$A14,条文別整理表!$D$9:$D$138,P$4,条文別整理表!$C$9:$C$138,"&gt;0")</f>
        <v>0</v>
      </c>
      <c r="Q14" s="29" t="n">
        <f aca="false">COUNTIFS(条文別整理表!$A$9:$A$138,$A14,条文別整理表!$D$9:$D$138,Q$4,条文別整理表!$C$9:$C$138,"&gt;0")</f>
        <v>0</v>
      </c>
      <c r="R14" s="29" t="n">
        <f aca="false">COUNTIFS(条文別整理表!$A$9:$A$138,$A14,条文別整理表!$D$9:$D$138,R$4,条文別整理表!$C$9:$C$138,"&gt;0")</f>
        <v>0</v>
      </c>
      <c r="S14" s="29" t="n">
        <f aca="false">COUNTIFS(条文別整理表!$A$9:$A$138,$A14,条文別整理表!$D$9:$D$138,S$4,条文別整理表!$C$9:$C$138,"&gt;0")</f>
        <v>0</v>
      </c>
      <c r="T14" s="29" t="n">
        <f aca="false">COUNTIFS(条文別整理表!$A$9:$A$138,$A14,条文別整理表!$D$9:$D$138,T$4,条文別整理表!$C$9:$C$138,"&gt;0")</f>
        <v>0</v>
      </c>
      <c r="U14" s="29" t="n">
        <f aca="false">COUNTIFS(条文別整理表!$A$9:$A$138,$A14,条文別整理表!$D$9:$D$138,U$4,条文別整理表!$C$9:$C$138,"&gt;0")</f>
        <v>0</v>
      </c>
      <c r="V14" s="29" t="n">
        <f aca="false">COUNTIFS(条文別整理表!$A$9:$A$138,$A14,条文別整理表!$D$9:$D$138,V$4,条文別整理表!$C$9:$C$138,"&gt;0")</f>
        <v>0</v>
      </c>
      <c r="W14" s="30" t="n">
        <f aca="false">SUM(D14:V14)</f>
        <v>5</v>
      </c>
      <c r="X14" s="30" t="n">
        <f aca="false">COUNTIF(D14:V14,"&gt;0")</f>
        <v>3</v>
      </c>
    </row>
    <row r="15" customFormat="false" ht="25.35" hidden="false" customHeight="false" outlineLevel="0" collapsed="false">
      <c r="A15" s="27" t="s">
        <v>191</v>
      </c>
      <c r="B15" s="28" t="str">
        <f aca="false">INDEX(条文マスタ!$B$5:$B$24,MATCH($A15,条文マスタ!$A$5:$A$24,0))</f>
        <v>第2章 監督に関する現場技術業務</v>
      </c>
      <c r="C15" s="28" t="str">
        <f aca="false">INDEX(条文マスタ!$C$5:$C$24,MATCH($A15,条文マスタ!$A$5:$A$24,0))</f>
        <v>検測</v>
      </c>
      <c r="D15" s="29" t="n">
        <f aca="false">COUNTIFS(条文別整理表!$A$9:$A$138,$A15,条文別整理表!$D$9:$D$138,D$4,条文別整理表!$C$9:$C$138,"&gt;0")</f>
        <v>0</v>
      </c>
      <c r="E15" s="29" t="n">
        <f aca="false">COUNTIFS(条文別整理表!$A$9:$A$138,$A15,条文別整理表!$D$9:$D$138,E$4,条文別整理表!$C$9:$C$138,"&gt;0")</f>
        <v>0</v>
      </c>
      <c r="F15" s="29" t="n">
        <f aca="false">COUNTIFS(条文別整理表!$A$9:$A$138,$A15,条文別整理表!$D$9:$D$138,F$4,条文別整理表!$C$9:$C$138,"&gt;0")</f>
        <v>0</v>
      </c>
      <c r="G15" s="29" t="n">
        <f aca="false">COUNTIFS(条文別整理表!$A$9:$A$138,$A15,条文別整理表!$D$9:$D$138,G$4,条文別整理表!$C$9:$C$138,"&gt;0")</f>
        <v>0</v>
      </c>
      <c r="H15" s="29" t="n">
        <f aca="false">COUNTIFS(条文別整理表!$A$9:$A$138,$A15,条文別整理表!$D$9:$D$138,H$4,条文別整理表!$C$9:$C$138,"&gt;0")</f>
        <v>0</v>
      </c>
      <c r="I15" s="29" t="n">
        <f aca="false">COUNTIFS(条文別整理表!$A$9:$A$138,$A15,条文別整理表!$D$9:$D$138,I$4,条文別整理表!$C$9:$C$138,"&gt;0")</f>
        <v>0</v>
      </c>
      <c r="J15" s="29" t="n">
        <f aca="false">COUNTIFS(条文別整理表!$A$9:$A$138,$A15,条文別整理表!$D$9:$D$138,J$4,条文別整理表!$C$9:$C$138,"&gt;0")</f>
        <v>0</v>
      </c>
      <c r="K15" s="29" t="n">
        <f aca="false">COUNTIFS(条文別整理表!$A$9:$A$138,$A15,条文別整理表!$D$9:$D$138,K$4,条文別整理表!$C$9:$C$138,"&gt;0")</f>
        <v>0</v>
      </c>
      <c r="L15" s="29" t="n">
        <f aca="false">COUNTIFS(条文別整理表!$A$9:$A$138,$A15,条文別整理表!$D$9:$D$138,L$4,条文別整理表!$C$9:$C$138,"&gt;0")</f>
        <v>0</v>
      </c>
      <c r="M15" s="29" t="n">
        <f aca="false">COUNTIFS(条文別整理表!$A$9:$A$138,$A15,条文別整理表!$D$9:$D$138,M$4,条文別整理表!$C$9:$C$138,"&gt;0")</f>
        <v>0</v>
      </c>
      <c r="N15" s="29" t="n">
        <f aca="false">COUNTIFS(条文別整理表!$A$9:$A$138,$A15,条文別整理表!$D$9:$D$138,N$4,条文別整理表!$C$9:$C$138,"&gt;0")</f>
        <v>0</v>
      </c>
      <c r="O15" s="29" t="n">
        <f aca="false">COUNTIFS(条文別整理表!$A$9:$A$138,$A15,条文別整理表!$D$9:$D$138,O$4,条文別整理表!$C$9:$C$138,"&gt;0")</f>
        <v>0</v>
      </c>
      <c r="P15" s="29" t="n">
        <f aca="false">COUNTIFS(条文別整理表!$A$9:$A$138,$A15,条文別整理表!$D$9:$D$138,P$4,条文別整理表!$C$9:$C$138,"&gt;0")</f>
        <v>0</v>
      </c>
      <c r="Q15" s="29" t="n">
        <f aca="false">COUNTIFS(条文別整理表!$A$9:$A$138,$A15,条文別整理表!$D$9:$D$138,Q$4,条文別整理表!$C$9:$C$138,"&gt;0")</f>
        <v>0</v>
      </c>
      <c r="R15" s="29" t="n">
        <f aca="false">COUNTIFS(条文別整理表!$A$9:$A$138,$A15,条文別整理表!$D$9:$D$138,R$4,条文別整理表!$C$9:$C$138,"&gt;0")</f>
        <v>0</v>
      </c>
      <c r="S15" s="29" t="n">
        <f aca="false">COUNTIFS(条文別整理表!$A$9:$A$138,$A15,条文別整理表!$D$9:$D$138,S$4,条文別整理表!$C$9:$C$138,"&gt;0")</f>
        <v>0</v>
      </c>
      <c r="T15" s="29" t="n">
        <f aca="false">COUNTIFS(条文別整理表!$A$9:$A$138,$A15,条文別整理表!$D$9:$D$138,T$4,条文別整理表!$C$9:$C$138,"&gt;0")</f>
        <v>0</v>
      </c>
      <c r="U15" s="29" t="n">
        <f aca="false">COUNTIFS(条文別整理表!$A$9:$A$138,$A15,条文別整理表!$D$9:$D$138,U$4,条文別整理表!$C$9:$C$138,"&gt;0")</f>
        <v>0</v>
      </c>
      <c r="V15" s="29" t="n">
        <f aca="false">COUNTIFS(条文別整理表!$A$9:$A$138,$A15,条文別整理表!$D$9:$D$138,V$4,条文別整理表!$C$9:$C$138,"&gt;0")</f>
        <v>0</v>
      </c>
      <c r="W15" s="30" t="n">
        <f aca="false">SUM(D15:V15)</f>
        <v>0</v>
      </c>
      <c r="X15" s="30" t="n">
        <f aca="false">COUNTIF(D15:V15,"&gt;0")</f>
        <v>0</v>
      </c>
    </row>
    <row r="16" customFormat="false" ht="25.35" hidden="false" customHeight="false" outlineLevel="0" collapsed="false">
      <c r="A16" s="27" t="s">
        <v>192</v>
      </c>
      <c r="B16" s="28" t="str">
        <f aca="false">INDEX(条文マスタ!$B$5:$B$24,MATCH($A16,条文マスタ!$A$5:$A$24,0))</f>
        <v>第2章 監督に関する現場技術業務</v>
      </c>
      <c r="C16" s="28" t="str">
        <f aca="false">INDEX(条文マスタ!$C$5:$C$24,MATCH($A16,条文マスタ!$A$5:$A$24,0))</f>
        <v>材料検査</v>
      </c>
      <c r="D16" s="29" t="n">
        <f aca="false">COUNTIFS(条文別整理表!$A$9:$A$138,$A16,条文別整理表!$D$9:$D$138,D$4,条文別整理表!$C$9:$C$138,"&gt;0")</f>
        <v>0</v>
      </c>
      <c r="E16" s="29" t="n">
        <f aca="false">COUNTIFS(条文別整理表!$A$9:$A$138,$A16,条文別整理表!$D$9:$D$138,E$4,条文別整理表!$C$9:$C$138,"&gt;0")</f>
        <v>0</v>
      </c>
      <c r="F16" s="29" t="n">
        <f aca="false">COUNTIFS(条文別整理表!$A$9:$A$138,$A16,条文別整理表!$D$9:$D$138,F$4,条文別整理表!$C$9:$C$138,"&gt;0")</f>
        <v>0</v>
      </c>
      <c r="G16" s="29" t="n">
        <f aca="false">COUNTIFS(条文別整理表!$A$9:$A$138,$A16,条文別整理表!$D$9:$D$138,G$4,条文別整理表!$C$9:$C$138,"&gt;0")</f>
        <v>0</v>
      </c>
      <c r="H16" s="29" t="n">
        <f aca="false">COUNTIFS(条文別整理表!$A$9:$A$138,$A16,条文別整理表!$D$9:$D$138,H$4,条文別整理表!$C$9:$C$138,"&gt;0")</f>
        <v>0</v>
      </c>
      <c r="I16" s="29" t="n">
        <f aca="false">COUNTIFS(条文別整理表!$A$9:$A$138,$A16,条文別整理表!$D$9:$D$138,I$4,条文別整理表!$C$9:$C$138,"&gt;0")</f>
        <v>0</v>
      </c>
      <c r="J16" s="29" t="n">
        <f aca="false">COUNTIFS(条文別整理表!$A$9:$A$138,$A16,条文別整理表!$D$9:$D$138,J$4,条文別整理表!$C$9:$C$138,"&gt;0")</f>
        <v>0</v>
      </c>
      <c r="K16" s="29" t="n">
        <f aca="false">COUNTIFS(条文別整理表!$A$9:$A$138,$A16,条文別整理表!$D$9:$D$138,K$4,条文別整理表!$C$9:$C$138,"&gt;0")</f>
        <v>0</v>
      </c>
      <c r="L16" s="29" t="n">
        <f aca="false">COUNTIFS(条文別整理表!$A$9:$A$138,$A16,条文別整理表!$D$9:$D$138,L$4,条文別整理表!$C$9:$C$138,"&gt;0")</f>
        <v>0</v>
      </c>
      <c r="M16" s="29" t="n">
        <f aca="false">COUNTIFS(条文別整理表!$A$9:$A$138,$A16,条文別整理表!$D$9:$D$138,M$4,条文別整理表!$C$9:$C$138,"&gt;0")</f>
        <v>0</v>
      </c>
      <c r="N16" s="29" t="n">
        <f aca="false">COUNTIFS(条文別整理表!$A$9:$A$138,$A16,条文別整理表!$D$9:$D$138,N$4,条文別整理表!$C$9:$C$138,"&gt;0")</f>
        <v>0</v>
      </c>
      <c r="O16" s="29" t="n">
        <f aca="false">COUNTIFS(条文別整理表!$A$9:$A$138,$A16,条文別整理表!$D$9:$D$138,O$4,条文別整理表!$C$9:$C$138,"&gt;0")</f>
        <v>0</v>
      </c>
      <c r="P16" s="29" t="n">
        <f aca="false">COUNTIFS(条文別整理表!$A$9:$A$138,$A16,条文別整理表!$D$9:$D$138,P$4,条文別整理表!$C$9:$C$138,"&gt;0")</f>
        <v>0</v>
      </c>
      <c r="Q16" s="29" t="n">
        <f aca="false">COUNTIFS(条文別整理表!$A$9:$A$138,$A16,条文別整理表!$D$9:$D$138,Q$4,条文別整理表!$C$9:$C$138,"&gt;0")</f>
        <v>0</v>
      </c>
      <c r="R16" s="29" t="n">
        <f aca="false">COUNTIFS(条文別整理表!$A$9:$A$138,$A16,条文別整理表!$D$9:$D$138,R$4,条文別整理表!$C$9:$C$138,"&gt;0")</f>
        <v>0</v>
      </c>
      <c r="S16" s="29" t="n">
        <f aca="false">COUNTIFS(条文別整理表!$A$9:$A$138,$A16,条文別整理表!$D$9:$D$138,S$4,条文別整理表!$C$9:$C$138,"&gt;0")</f>
        <v>0</v>
      </c>
      <c r="T16" s="29" t="n">
        <f aca="false">COUNTIFS(条文別整理表!$A$9:$A$138,$A16,条文別整理表!$D$9:$D$138,T$4,条文別整理表!$C$9:$C$138,"&gt;0")</f>
        <v>0</v>
      </c>
      <c r="U16" s="29" t="n">
        <f aca="false">COUNTIFS(条文別整理表!$A$9:$A$138,$A16,条文別整理表!$D$9:$D$138,U$4,条文別整理表!$C$9:$C$138,"&gt;0")</f>
        <v>0</v>
      </c>
      <c r="V16" s="29" t="n">
        <f aca="false">COUNTIFS(条文別整理表!$A$9:$A$138,$A16,条文別整理表!$D$9:$D$138,V$4,条文別整理表!$C$9:$C$138,"&gt;0")</f>
        <v>0</v>
      </c>
      <c r="W16" s="30" t="n">
        <f aca="false">SUM(D16:V16)</f>
        <v>0</v>
      </c>
      <c r="X16" s="30" t="n">
        <f aca="false">COUNTIF(D16:V16,"&gt;0")</f>
        <v>0</v>
      </c>
    </row>
    <row r="17" customFormat="false" ht="25.35" hidden="false" customHeight="false" outlineLevel="0" collapsed="false">
      <c r="A17" s="27" t="s">
        <v>193</v>
      </c>
      <c r="B17" s="28" t="str">
        <f aca="false">INDEX(条文マスタ!$B$5:$B$24,MATCH($A17,条文マスタ!$A$5:$A$24,0))</f>
        <v>第2章 監督に関する現場技術業務</v>
      </c>
      <c r="C17" s="28" t="str">
        <f aca="false">INDEX(条文マスタ!$C$5:$C$24,MATCH($A17,条文マスタ!$A$5:$A$24,0))</f>
        <v>工程管理</v>
      </c>
      <c r="D17" s="29" t="n">
        <f aca="false">COUNTIFS(条文別整理表!$A$9:$A$138,$A17,条文別整理表!$D$9:$D$138,D$4,条文別整理表!$C$9:$C$138,"&gt;0")</f>
        <v>0</v>
      </c>
      <c r="E17" s="29" t="n">
        <f aca="false">COUNTIFS(条文別整理表!$A$9:$A$138,$A17,条文別整理表!$D$9:$D$138,E$4,条文別整理表!$C$9:$C$138,"&gt;0")</f>
        <v>0</v>
      </c>
      <c r="F17" s="29" t="n">
        <f aca="false">COUNTIFS(条文別整理表!$A$9:$A$138,$A17,条文別整理表!$D$9:$D$138,F$4,条文別整理表!$C$9:$C$138,"&gt;0")</f>
        <v>0</v>
      </c>
      <c r="G17" s="29" t="n">
        <f aca="false">COUNTIFS(条文別整理表!$A$9:$A$138,$A17,条文別整理表!$D$9:$D$138,G$4,条文別整理表!$C$9:$C$138,"&gt;0")</f>
        <v>0</v>
      </c>
      <c r="H17" s="29" t="n">
        <f aca="false">COUNTIFS(条文別整理表!$A$9:$A$138,$A17,条文別整理表!$D$9:$D$138,H$4,条文別整理表!$C$9:$C$138,"&gt;0")</f>
        <v>0</v>
      </c>
      <c r="I17" s="29" t="n">
        <f aca="false">COUNTIFS(条文別整理表!$A$9:$A$138,$A17,条文別整理表!$D$9:$D$138,I$4,条文別整理表!$C$9:$C$138,"&gt;0")</f>
        <v>0</v>
      </c>
      <c r="J17" s="29" t="n">
        <f aca="false">COUNTIFS(条文別整理表!$A$9:$A$138,$A17,条文別整理表!$D$9:$D$138,J$4,条文別整理表!$C$9:$C$138,"&gt;0")</f>
        <v>0</v>
      </c>
      <c r="K17" s="29" t="n">
        <f aca="false">COUNTIFS(条文別整理表!$A$9:$A$138,$A17,条文別整理表!$D$9:$D$138,K$4,条文別整理表!$C$9:$C$138,"&gt;0")</f>
        <v>0</v>
      </c>
      <c r="L17" s="29" t="n">
        <f aca="false">COUNTIFS(条文別整理表!$A$9:$A$138,$A17,条文別整理表!$D$9:$D$138,L$4,条文別整理表!$C$9:$C$138,"&gt;0")</f>
        <v>0</v>
      </c>
      <c r="M17" s="29" t="n">
        <f aca="false">COUNTIFS(条文別整理表!$A$9:$A$138,$A17,条文別整理表!$D$9:$D$138,M$4,条文別整理表!$C$9:$C$138,"&gt;0")</f>
        <v>0</v>
      </c>
      <c r="N17" s="29" t="n">
        <f aca="false">COUNTIFS(条文別整理表!$A$9:$A$138,$A17,条文別整理表!$D$9:$D$138,N$4,条文別整理表!$C$9:$C$138,"&gt;0")</f>
        <v>0</v>
      </c>
      <c r="O17" s="29" t="n">
        <f aca="false">COUNTIFS(条文別整理表!$A$9:$A$138,$A17,条文別整理表!$D$9:$D$138,O$4,条文別整理表!$C$9:$C$138,"&gt;0")</f>
        <v>0</v>
      </c>
      <c r="P17" s="29" t="n">
        <f aca="false">COUNTIFS(条文別整理表!$A$9:$A$138,$A17,条文別整理表!$D$9:$D$138,P$4,条文別整理表!$C$9:$C$138,"&gt;0")</f>
        <v>0</v>
      </c>
      <c r="Q17" s="29" t="n">
        <f aca="false">COUNTIFS(条文別整理表!$A$9:$A$138,$A17,条文別整理表!$D$9:$D$138,Q$4,条文別整理表!$C$9:$C$138,"&gt;0")</f>
        <v>0</v>
      </c>
      <c r="R17" s="29" t="n">
        <f aca="false">COUNTIFS(条文別整理表!$A$9:$A$138,$A17,条文別整理表!$D$9:$D$138,R$4,条文別整理表!$C$9:$C$138,"&gt;0")</f>
        <v>0</v>
      </c>
      <c r="S17" s="29" t="n">
        <f aca="false">COUNTIFS(条文別整理表!$A$9:$A$138,$A17,条文別整理表!$D$9:$D$138,S$4,条文別整理表!$C$9:$C$138,"&gt;0")</f>
        <v>0</v>
      </c>
      <c r="T17" s="29" t="n">
        <f aca="false">COUNTIFS(条文別整理表!$A$9:$A$138,$A17,条文別整理表!$D$9:$D$138,T$4,条文別整理表!$C$9:$C$138,"&gt;0")</f>
        <v>0</v>
      </c>
      <c r="U17" s="29" t="n">
        <f aca="false">COUNTIFS(条文別整理表!$A$9:$A$138,$A17,条文別整理表!$D$9:$D$138,U$4,条文別整理表!$C$9:$C$138,"&gt;0")</f>
        <v>0</v>
      </c>
      <c r="V17" s="29" t="n">
        <f aca="false">COUNTIFS(条文別整理表!$A$9:$A$138,$A17,条文別整理表!$D$9:$D$138,V$4,条文別整理表!$C$9:$C$138,"&gt;0")</f>
        <v>0</v>
      </c>
      <c r="W17" s="30" t="n">
        <f aca="false">SUM(D17:V17)</f>
        <v>0</v>
      </c>
      <c r="X17" s="30" t="n">
        <f aca="false">COUNTIF(D17:V17,"&gt;0")</f>
        <v>0</v>
      </c>
    </row>
    <row r="18" customFormat="false" ht="25.35" hidden="false" customHeight="false" outlineLevel="0" collapsed="false">
      <c r="A18" s="27" t="s">
        <v>194</v>
      </c>
      <c r="B18" s="28" t="str">
        <f aca="false">INDEX(条文マスタ!$B$5:$B$24,MATCH($A18,条文マスタ!$A$5:$A$24,0))</f>
        <v>第2章 監督に関する現場技術業務</v>
      </c>
      <c r="C18" s="28" t="str">
        <f aca="false">INDEX(条文マスタ!$C$5:$C$24,MATCH($A18,条文マスタ!$A$5:$A$24,0))</f>
        <v>品質管理</v>
      </c>
      <c r="D18" s="29" t="n">
        <f aca="false">COUNTIFS(条文別整理表!$A$9:$A$138,$A18,条文別整理表!$D$9:$D$138,D$4,条文別整理表!$C$9:$C$138,"&gt;0")</f>
        <v>0</v>
      </c>
      <c r="E18" s="29" t="n">
        <f aca="false">COUNTIFS(条文別整理表!$A$9:$A$138,$A18,条文別整理表!$D$9:$D$138,E$4,条文別整理表!$C$9:$C$138,"&gt;0")</f>
        <v>0</v>
      </c>
      <c r="F18" s="29" t="n">
        <f aca="false">COUNTIFS(条文別整理表!$A$9:$A$138,$A18,条文別整理表!$D$9:$D$138,F$4,条文別整理表!$C$9:$C$138,"&gt;0")</f>
        <v>0</v>
      </c>
      <c r="G18" s="29" t="n">
        <f aca="false">COUNTIFS(条文別整理表!$A$9:$A$138,$A18,条文別整理表!$D$9:$D$138,G$4,条文別整理表!$C$9:$C$138,"&gt;0")</f>
        <v>0</v>
      </c>
      <c r="H18" s="29" t="n">
        <f aca="false">COUNTIFS(条文別整理表!$A$9:$A$138,$A18,条文別整理表!$D$9:$D$138,H$4,条文別整理表!$C$9:$C$138,"&gt;0")</f>
        <v>0</v>
      </c>
      <c r="I18" s="29" t="n">
        <f aca="false">COUNTIFS(条文別整理表!$A$9:$A$138,$A18,条文別整理表!$D$9:$D$138,I$4,条文別整理表!$C$9:$C$138,"&gt;0")</f>
        <v>0</v>
      </c>
      <c r="J18" s="29" t="n">
        <f aca="false">COUNTIFS(条文別整理表!$A$9:$A$138,$A18,条文別整理表!$D$9:$D$138,J$4,条文別整理表!$C$9:$C$138,"&gt;0")</f>
        <v>0</v>
      </c>
      <c r="K18" s="29" t="n">
        <f aca="false">COUNTIFS(条文別整理表!$A$9:$A$138,$A18,条文別整理表!$D$9:$D$138,K$4,条文別整理表!$C$9:$C$138,"&gt;0")</f>
        <v>0</v>
      </c>
      <c r="L18" s="29" t="n">
        <f aca="false">COUNTIFS(条文別整理表!$A$9:$A$138,$A18,条文別整理表!$D$9:$D$138,L$4,条文別整理表!$C$9:$C$138,"&gt;0")</f>
        <v>0</v>
      </c>
      <c r="M18" s="29" t="n">
        <f aca="false">COUNTIFS(条文別整理表!$A$9:$A$138,$A18,条文別整理表!$D$9:$D$138,M$4,条文別整理表!$C$9:$C$138,"&gt;0")</f>
        <v>0</v>
      </c>
      <c r="N18" s="29" t="n">
        <f aca="false">COUNTIFS(条文別整理表!$A$9:$A$138,$A18,条文別整理表!$D$9:$D$138,N$4,条文別整理表!$C$9:$C$138,"&gt;0")</f>
        <v>0</v>
      </c>
      <c r="O18" s="29" t="n">
        <f aca="false">COUNTIFS(条文別整理表!$A$9:$A$138,$A18,条文別整理表!$D$9:$D$138,O$4,条文別整理表!$C$9:$C$138,"&gt;0")</f>
        <v>0</v>
      </c>
      <c r="P18" s="29" t="n">
        <f aca="false">COUNTIFS(条文別整理表!$A$9:$A$138,$A18,条文別整理表!$D$9:$D$138,P$4,条文別整理表!$C$9:$C$138,"&gt;0")</f>
        <v>0</v>
      </c>
      <c r="Q18" s="29" t="n">
        <f aca="false">COUNTIFS(条文別整理表!$A$9:$A$138,$A18,条文別整理表!$D$9:$D$138,Q$4,条文別整理表!$C$9:$C$138,"&gt;0")</f>
        <v>0</v>
      </c>
      <c r="R18" s="29" t="n">
        <f aca="false">COUNTIFS(条文別整理表!$A$9:$A$138,$A18,条文別整理表!$D$9:$D$138,R$4,条文別整理表!$C$9:$C$138,"&gt;0")</f>
        <v>0</v>
      </c>
      <c r="S18" s="29" t="n">
        <f aca="false">COUNTIFS(条文別整理表!$A$9:$A$138,$A18,条文別整理表!$D$9:$D$138,S$4,条文別整理表!$C$9:$C$138,"&gt;0")</f>
        <v>0</v>
      </c>
      <c r="T18" s="29" t="n">
        <f aca="false">COUNTIFS(条文別整理表!$A$9:$A$138,$A18,条文別整理表!$D$9:$D$138,T$4,条文別整理表!$C$9:$C$138,"&gt;0")</f>
        <v>0</v>
      </c>
      <c r="U18" s="29" t="n">
        <f aca="false">COUNTIFS(条文別整理表!$A$9:$A$138,$A18,条文別整理表!$D$9:$D$138,U$4,条文別整理表!$C$9:$C$138,"&gt;0")</f>
        <v>0</v>
      </c>
      <c r="V18" s="29" t="n">
        <f aca="false">COUNTIFS(条文別整理表!$A$9:$A$138,$A18,条文別整理表!$D$9:$D$138,V$4,条文別整理表!$C$9:$C$138,"&gt;0")</f>
        <v>0</v>
      </c>
      <c r="W18" s="30" t="n">
        <f aca="false">SUM(D18:V18)</f>
        <v>0</v>
      </c>
      <c r="X18" s="30" t="n">
        <f aca="false">COUNTIF(D18:V18,"&gt;0")</f>
        <v>0</v>
      </c>
    </row>
    <row r="19" customFormat="false" ht="25.35" hidden="false" customHeight="false" outlineLevel="0" collapsed="false">
      <c r="A19" s="27" t="s">
        <v>195</v>
      </c>
      <c r="B19" s="28" t="str">
        <f aca="false">INDEX(条文マスタ!$B$5:$B$24,MATCH($A19,条文マスタ!$A$5:$A$24,0))</f>
        <v>第2章 監督に関する現場技術業務</v>
      </c>
      <c r="C19" s="28" t="str">
        <f aca="false">INDEX(条文マスタ!$C$5:$C$24,MATCH($A19,条文マスタ!$A$5:$A$24,0))</f>
        <v>図面と現地の不一致等</v>
      </c>
      <c r="D19" s="29" t="n">
        <f aca="false">COUNTIFS(条文別整理表!$A$9:$A$138,$A19,条文別整理表!$D$9:$D$138,D$4,条文別整理表!$C$9:$C$138,"&gt;0")</f>
        <v>0</v>
      </c>
      <c r="E19" s="29" t="n">
        <f aca="false">COUNTIFS(条文別整理表!$A$9:$A$138,$A19,条文別整理表!$D$9:$D$138,E$4,条文別整理表!$C$9:$C$138,"&gt;0")</f>
        <v>0</v>
      </c>
      <c r="F19" s="29" t="n">
        <f aca="false">COUNTIFS(条文別整理表!$A$9:$A$138,$A19,条文別整理表!$D$9:$D$138,F$4,条文別整理表!$C$9:$C$138,"&gt;0")</f>
        <v>0</v>
      </c>
      <c r="G19" s="29" t="n">
        <f aca="false">COUNTIFS(条文別整理表!$A$9:$A$138,$A19,条文別整理表!$D$9:$D$138,G$4,条文別整理表!$C$9:$C$138,"&gt;0")</f>
        <v>0</v>
      </c>
      <c r="H19" s="29" t="n">
        <f aca="false">COUNTIFS(条文別整理表!$A$9:$A$138,$A19,条文別整理表!$D$9:$D$138,H$4,条文別整理表!$C$9:$C$138,"&gt;0")</f>
        <v>0</v>
      </c>
      <c r="I19" s="29" t="n">
        <f aca="false">COUNTIFS(条文別整理表!$A$9:$A$138,$A19,条文別整理表!$D$9:$D$138,I$4,条文別整理表!$C$9:$C$138,"&gt;0")</f>
        <v>0</v>
      </c>
      <c r="J19" s="29" t="n">
        <f aca="false">COUNTIFS(条文別整理表!$A$9:$A$138,$A19,条文別整理表!$D$9:$D$138,J$4,条文別整理表!$C$9:$C$138,"&gt;0")</f>
        <v>0</v>
      </c>
      <c r="K19" s="29" t="n">
        <f aca="false">COUNTIFS(条文別整理表!$A$9:$A$138,$A19,条文別整理表!$D$9:$D$138,K$4,条文別整理表!$C$9:$C$138,"&gt;0")</f>
        <v>0</v>
      </c>
      <c r="L19" s="29" t="n">
        <f aca="false">COUNTIFS(条文別整理表!$A$9:$A$138,$A19,条文別整理表!$D$9:$D$138,L$4,条文別整理表!$C$9:$C$138,"&gt;0")</f>
        <v>0</v>
      </c>
      <c r="M19" s="29" t="n">
        <f aca="false">COUNTIFS(条文別整理表!$A$9:$A$138,$A19,条文別整理表!$D$9:$D$138,M$4,条文別整理表!$C$9:$C$138,"&gt;0")</f>
        <v>0</v>
      </c>
      <c r="N19" s="29" t="n">
        <f aca="false">COUNTIFS(条文別整理表!$A$9:$A$138,$A19,条文別整理表!$D$9:$D$138,N$4,条文別整理表!$C$9:$C$138,"&gt;0")</f>
        <v>0</v>
      </c>
      <c r="O19" s="29" t="n">
        <f aca="false">COUNTIFS(条文別整理表!$A$9:$A$138,$A19,条文別整理表!$D$9:$D$138,O$4,条文別整理表!$C$9:$C$138,"&gt;0")</f>
        <v>0</v>
      </c>
      <c r="P19" s="29" t="n">
        <f aca="false">COUNTIFS(条文別整理表!$A$9:$A$138,$A19,条文別整理表!$D$9:$D$138,P$4,条文別整理表!$C$9:$C$138,"&gt;0")</f>
        <v>0</v>
      </c>
      <c r="Q19" s="29" t="n">
        <f aca="false">COUNTIFS(条文別整理表!$A$9:$A$138,$A19,条文別整理表!$D$9:$D$138,Q$4,条文別整理表!$C$9:$C$138,"&gt;0")</f>
        <v>0</v>
      </c>
      <c r="R19" s="29" t="n">
        <f aca="false">COUNTIFS(条文別整理表!$A$9:$A$138,$A19,条文別整理表!$D$9:$D$138,R$4,条文別整理表!$C$9:$C$138,"&gt;0")</f>
        <v>0</v>
      </c>
      <c r="S19" s="29" t="n">
        <f aca="false">COUNTIFS(条文別整理表!$A$9:$A$138,$A19,条文別整理表!$D$9:$D$138,S$4,条文別整理表!$C$9:$C$138,"&gt;0")</f>
        <v>0</v>
      </c>
      <c r="T19" s="29" t="n">
        <f aca="false">COUNTIFS(条文別整理表!$A$9:$A$138,$A19,条文別整理表!$D$9:$D$138,T$4,条文別整理表!$C$9:$C$138,"&gt;0")</f>
        <v>0</v>
      </c>
      <c r="U19" s="29" t="n">
        <f aca="false">COUNTIFS(条文別整理表!$A$9:$A$138,$A19,条文別整理表!$D$9:$D$138,U$4,条文別整理表!$C$9:$C$138,"&gt;0")</f>
        <v>0</v>
      </c>
      <c r="V19" s="29" t="n">
        <f aca="false">COUNTIFS(条文別整理表!$A$9:$A$138,$A19,条文別整理表!$D$9:$D$138,V$4,条文別整理表!$C$9:$C$138,"&gt;0")</f>
        <v>0</v>
      </c>
      <c r="W19" s="30" t="n">
        <f aca="false">SUM(D19:V19)</f>
        <v>0</v>
      </c>
      <c r="X19" s="30" t="n">
        <f aca="false">COUNTIF(D19:V19,"&gt;0")</f>
        <v>0</v>
      </c>
    </row>
    <row r="20" customFormat="false" ht="25.35" hidden="false" customHeight="false" outlineLevel="0" collapsed="false">
      <c r="A20" s="27" t="s">
        <v>196</v>
      </c>
      <c r="B20" s="28" t="str">
        <f aca="false">INDEX(条文マスタ!$B$5:$B$24,MATCH($A20,条文マスタ!$A$5:$A$24,0))</f>
        <v>第2章 監督に関する現場技術業務</v>
      </c>
      <c r="C20" s="28" t="str">
        <f aca="false">INDEX(条文マスタ!$C$5:$C$24,MATCH($A20,条文マスタ!$A$5:$A$24,0))</f>
        <v>検査の立会</v>
      </c>
      <c r="D20" s="29" t="n">
        <f aca="false">COUNTIFS(条文別整理表!$A$9:$A$138,$A20,条文別整理表!$D$9:$D$138,D$4,条文別整理表!$C$9:$C$138,"&gt;0")</f>
        <v>0</v>
      </c>
      <c r="E20" s="29" t="n">
        <f aca="false">COUNTIFS(条文別整理表!$A$9:$A$138,$A20,条文別整理表!$D$9:$D$138,E$4,条文別整理表!$C$9:$C$138,"&gt;0")</f>
        <v>0</v>
      </c>
      <c r="F20" s="29" t="n">
        <f aca="false">COUNTIFS(条文別整理表!$A$9:$A$138,$A20,条文別整理表!$D$9:$D$138,F$4,条文別整理表!$C$9:$C$138,"&gt;0")</f>
        <v>0</v>
      </c>
      <c r="G20" s="29" t="n">
        <f aca="false">COUNTIFS(条文別整理表!$A$9:$A$138,$A20,条文別整理表!$D$9:$D$138,G$4,条文別整理表!$C$9:$C$138,"&gt;0")</f>
        <v>0</v>
      </c>
      <c r="H20" s="29" t="n">
        <f aca="false">COUNTIFS(条文別整理表!$A$9:$A$138,$A20,条文別整理表!$D$9:$D$138,H$4,条文別整理表!$C$9:$C$138,"&gt;0")</f>
        <v>0</v>
      </c>
      <c r="I20" s="29" t="n">
        <f aca="false">COUNTIFS(条文別整理表!$A$9:$A$138,$A20,条文別整理表!$D$9:$D$138,I$4,条文別整理表!$C$9:$C$138,"&gt;0")</f>
        <v>0</v>
      </c>
      <c r="J20" s="29" t="n">
        <f aca="false">COUNTIFS(条文別整理表!$A$9:$A$138,$A20,条文別整理表!$D$9:$D$138,J$4,条文別整理表!$C$9:$C$138,"&gt;0")</f>
        <v>1</v>
      </c>
      <c r="K20" s="29" t="n">
        <f aca="false">COUNTIFS(条文別整理表!$A$9:$A$138,$A20,条文別整理表!$D$9:$D$138,K$4,条文別整理表!$C$9:$C$138,"&gt;0")</f>
        <v>0</v>
      </c>
      <c r="L20" s="29" t="n">
        <f aca="false">COUNTIFS(条文別整理表!$A$9:$A$138,$A20,条文別整理表!$D$9:$D$138,L$4,条文別整理表!$C$9:$C$138,"&gt;0")</f>
        <v>0</v>
      </c>
      <c r="M20" s="29" t="n">
        <f aca="false">COUNTIFS(条文別整理表!$A$9:$A$138,$A20,条文別整理表!$D$9:$D$138,M$4,条文別整理表!$C$9:$C$138,"&gt;0")</f>
        <v>0</v>
      </c>
      <c r="N20" s="29" t="n">
        <f aca="false">COUNTIFS(条文別整理表!$A$9:$A$138,$A20,条文別整理表!$D$9:$D$138,N$4,条文別整理表!$C$9:$C$138,"&gt;0")</f>
        <v>0</v>
      </c>
      <c r="O20" s="29" t="n">
        <f aca="false">COUNTIFS(条文別整理表!$A$9:$A$138,$A20,条文別整理表!$D$9:$D$138,O$4,条文別整理表!$C$9:$C$138,"&gt;0")</f>
        <v>0</v>
      </c>
      <c r="P20" s="29" t="n">
        <f aca="false">COUNTIFS(条文別整理表!$A$9:$A$138,$A20,条文別整理表!$D$9:$D$138,P$4,条文別整理表!$C$9:$C$138,"&gt;0")</f>
        <v>2</v>
      </c>
      <c r="Q20" s="29" t="n">
        <f aca="false">COUNTIFS(条文別整理表!$A$9:$A$138,$A20,条文別整理表!$D$9:$D$138,Q$4,条文別整理表!$C$9:$C$138,"&gt;0")</f>
        <v>0</v>
      </c>
      <c r="R20" s="29" t="n">
        <f aca="false">COUNTIFS(条文別整理表!$A$9:$A$138,$A20,条文別整理表!$D$9:$D$138,R$4,条文別整理表!$C$9:$C$138,"&gt;0")</f>
        <v>0</v>
      </c>
      <c r="S20" s="29" t="n">
        <f aca="false">COUNTIFS(条文別整理表!$A$9:$A$138,$A20,条文別整理表!$D$9:$D$138,S$4,条文別整理表!$C$9:$C$138,"&gt;0")</f>
        <v>0</v>
      </c>
      <c r="T20" s="29" t="n">
        <f aca="false">COUNTIFS(条文別整理表!$A$9:$A$138,$A20,条文別整理表!$D$9:$D$138,T$4,条文別整理表!$C$9:$C$138,"&gt;0")</f>
        <v>1</v>
      </c>
      <c r="U20" s="29" t="n">
        <f aca="false">COUNTIFS(条文別整理表!$A$9:$A$138,$A20,条文別整理表!$D$9:$D$138,U$4,条文別整理表!$C$9:$C$138,"&gt;0")</f>
        <v>2</v>
      </c>
      <c r="V20" s="29" t="n">
        <f aca="false">COUNTIFS(条文別整理表!$A$9:$A$138,$A20,条文別整理表!$D$9:$D$138,V$4,条文別整理表!$C$9:$C$138,"&gt;0")</f>
        <v>0</v>
      </c>
      <c r="W20" s="30" t="n">
        <f aca="false">SUM(D20:V20)</f>
        <v>6</v>
      </c>
      <c r="X20" s="30" t="n">
        <f aca="false">COUNTIF(D20:V20,"&gt;0")</f>
        <v>4</v>
      </c>
    </row>
    <row r="21" customFormat="false" ht="25.35" hidden="false" customHeight="false" outlineLevel="0" collapsed="false">
      <c r="A21" s="27" t="s">
        <v>197</v>
      </c>
      <c r="B21" s="28" t="str">
        <f aca="false">INDEX(条文マスタ!$B$5:$B$24,MATCH($A21,条文マスタ!$A$5:$A$24,0))</f>
        <v>第2章 監督に関する現場技術業務</v>
      </c>
      <c r="C21" s="28" t="str">
        <f aca="false">INDEX(条文マスタ!$C$5:$C$24,MATCH($A21,条文マスタ!$A$5:$A$24,0))</f>
        <v>設計変更工事検査等に関する図書</v>
      </c>
      <c r="D21" s="29" t="n">
        <f aca="false">COUNTIFS(条文別整理表!$A$9:$A$138,$A21,条文別整理表!$D$9:$D$138,D$4,条文別整理表!$C$9:$C$138,"&gt;0")</f>
        <v>1</v>
      </c>
      <c r="E21" s="29" t="n">
        <f aca="false">COUNTIFS(条文別整理表!$A$9:$A$138,$A21,条文別整理表!$D$9:$D$138,E$4,条文別整理表!$C$9:$C$138,"&gt;0")</f>
        <v>1</v>
      </c>
      <c r="F21" s="29" t="n">
        <f aca="false">COUNTIFS(条文別整理表!$A$9:$A$138,$A21,条文別整理表!$D$9:$D$138,F$4,条文別整理表!$C$9:$C$138,"&gt;0")</f>
        <v>0</v>
      </c>
      <c r="G21" s="29" t="n">
        <f aca="false">COUNTIFS(条文別整理表!$A$9:$A$138,$A21,条文別整理表!$D$9:$D$138,G$4,条文別整理表!$C$9:$C$138,"&gt;0")</f>
        <v>4</v>
      </c>
      <c r="H21" s="29" t="n">
        <f aca="false">COUNTIFS(条文別整理表!$A$9:$A$138,$A21,条文別整理表!$D$9:$D$138,H$4,条文別整理表!$C$9:$C$138,"&gt;0")</f>
        <v>2</v>
      </c>
      <c r="I21" s="29" t="n">
        <f aca="false">COUNTIFS(条文別整理表!$A$9:$A$138,$A21,条文別整理表!$D$9:$D$138,I$4,条文別整理表!$C$9:$C$138,"&gt;0")</f>
        <v>3</v>
      </c>
      <c r="J21" s="29" t="n">
        <f aca="false">COUNTIFS(条文別整理表!$A$9:$A$138,$A21,条文別整理表!$D$9:$D$138,J$4,条文別整理表!$C$9:$C$138,"&gt;0")</f>
        <v>2</v>
      </c>
      <c r="K21" s="29" t="n">
        <f aca="false">COUNTIFS(条文別整理表!$A$9:$A$138,$A21,条文別整理表!$D$9:$D$138,K$4,条文別整理表!$C$9:$C$138,"&gt;0")</f>
        <v>3</v>
      </c>
      <c r="L21" s="29" t="n">
        <f aca="false">COUNTIFS(条文別整理表!$A$9:$A$138,$A21,条文別整理表!$D$9:$D$138,L$4,条文別整理表!$C$9:$C$138,"&gt;0")</f>
        <v>2</v>
      </c>
      <c r="M21" s="29" t="n">
        <f aca="false">COUNTIFS(条文別整理表!$A$9:$A$138,$A21,条文別整理表!$D$9:$D$138,M$4,条文別整理表!$C$9:$C$138,"&gt;0")</f>
        <v>1</v>
      </c>
      <c r="N21" s="29" t="n">
        <f aca="false">COUNTIFS(条文別整理表!$A$9:$A$138,$A21,条文別整理表!$D$9:$D$138,N$4,条文別整理表!$C$9:$C$138,"&gt;0")</f>
        <v>1</v>
      </c>
      <c r="O21" s="29" t="n">
        <f aca="false">COUNTIFS(条文別整理表!$A$9:$A$138,$A21,条文別整理表!$D$9:$D$138,O$4,条文別整理表!$C$9:$C$138,"&gt;0")</f>
        <v>1</v>
      </c>
      <c r="P21" s="29" t="n">
        <f aca="false">COUNTIFS(条文別整理表!$A$9:$A$138,$A21,条文別整理表!$D$9:$D$138,P$4,条文別整理表!$C$9:$C$138,"&gt;0")</f>
        <v>0</v>
      </c>
      <c r="Q21" s="29" t="n">
        <f aca="false">COUNTIFS(条文別整理表!$A$9:$A$138,$A21,条文別整理表!$D$9:$D$138,Q$4,条文別整理表!$C$9:$C$138,"&gt;0")</f>
        <v>2</v>
      </c>
      <c r="R21" s="29" t="n">
        <f aca="false">COUNTIFS(条文別整理表!$A$9:$A$138,$A21,条文別整理表!$D$9:$D$138,R$4,条文別整理表!$C$9:$C$138,"&gt;0")</f>
        <v>0</v>
      </c>
      <c r="S21" s="29" t="n">
        <f aca="false">COUNTIFS(条文別整理表!$A$9:$A$138,$A21,条文別整理表!$D$9:$D$138,S$4,条文別整理表!$C$9:$C$138,"&gt;0")</f>
        <v>0</v>
      </c>
      <c r="T21" s="29" t="n">
        <f aca="false">COUNTIFS(条文別整理表!$A$9:$A$138,$A21,条文別整理表!$D$9:$D$138,T$4,条文別整理表!$C$9:$C$138,"&gt;0")</f>
        <v>0</v>
      </c>
      <c r="U21" s="29" t="n">
        <f aca="false">COUNTIFS(条文別整理表!$A$9:$A$138,$A21,条文別整理表!$D$9:$D$138,U$4,条文別整理表!$C$9:$C$138,"&gt;0")</f>
        <v>0</v>
      </c>
      <c r="V21" s="29" t="n">
        <f aca="false">COUNTIFS(条文別整理表!$A$9:$A$138,$A21,条文別整理表!$D$9:$D$138,V$4,条文別整理表!$C$9:$C$138,"&gt;0")</f>
        <v>0</v>
      </c>
      <c r="W21" s="30" t="n">
        <f aca="false">SUM(D21:V21)</f>
        <v>23</v>
      </c>
      <c r="X21" s="30" t="n">
        <f aca="false">COUNTIF(D21:V21,"&gt;0")</f>
        <v>12</v>
      </c>
    </row>
    <row r="22" customFormat="false" ht="25.35" hidden="false" customHeight="false" outlineLevel="0" collapsed="false">
      <c r="A22" s="27" t="s">
        <v>198</v>
      </c>
      <c r="B22" s="28" t="str">
        <f aca="false">INDEX(条文マスタ!$B$5:$B$24,MATCH($A22,条文マスタ!$A$5:$A$24,0))</f>
        <v>第2章 監督に関する現場技術業務</v>
      </c>
      <c r="C22" s="28" t="str">
        <f aca="false">INDEX(条文マスタ!$C$5:$C$24,MATCH($A22,条文マスタ!$A$5:$A$24,0))</f>
        <v>対外接渉に関する資料</v>
      </c>
      <c r="D22" s="29" t="n">
        <f aca="false">COUNTIFS(条文別整理表!$A$9:$A$138,$A22,条文別整理表!$D$9:$D$138,D$4,条文別整理表!$C$9:$C$138,"&gt;0")</f>
        <v>0</v>
      </c>
      <c r="E22" s="29" t="n">
        <f aca="false">COUNTIFS(条文別整理表!$A$9:$A$138,$A22,条文別整理表!$D$9:$D$138,E$4,条文別整理表!$C$9:$C$138,"&gt;0")</f>
        <v>0</v>
      </c>
      <c r="F22" s="29" t="n">
        <f aca="false">COUNTIFS(条文別整理表!$A$9:$A$138,$A22,条文別整理表!$D$9:$D$138,F$4,条文別整理表!$C$9:$C$138,"&gt;0")</f>
        <v>1</v>
      </c>
      <c r="G22" s="29" t="n">
        <f aca="false">COUNTIFS(条文別整理表!$A$9:$A$138,$A22,条文別整理表!$D$9:$D$138,G$4,条文別整理表!$C$9:$C$138,"&gt;0")</f>
        <v>0</v>
      </c>
      <c r="H22" s="29" t="n">
        <f aca="false">COUNTIFS(条文別整理表!$A$9:$A$138,$A22,条文別整理表!$D$9:$D$138,H$4,条文別整理表!$C$9:$C$138,"&gt;0")</f>
        <v>0</v>
      </c>
      <c r="I22" s="29" t="n">
        <f aca="false">COUNTIFS(条文別整理表!$A$9:$A$138,$A22,条文別整理表!$D$9:$D$138,I$4,条文別整理表!$C$9:$C$138,"&gt;0")</f>
        <v>0</v>
      </c>
      <c r="J22" s="29" t="n">
        <f aca="false">COUNTIFS(条文別整理表!$A$9:$A$138,$A22,条文別整理表!$D$9:$D$138,J$4,条文別整理表!$C$9:$C$138,"&gt;0")</f>
        <v>0</v>
      </c>
      <c r="K22" s="29" t="n">
        <f aca="false">COUNTIFS(条文別整理表!$A$9:$A$138,$A22,条文別整理表!$D$9:$D$138,K$4,条文別整理表!$C$9:$C$138,"&gt;0")</f>
        <v>1</v>
      </c>
      <c r="L22" s="29" t="n">
        <f aca="false">COUNTIFS(条文別整理表!$A$9:$A$138,$A22,条文別整理表!$D$9:$D$138,L$4,条文別整理表!$C$9:$C$138,"&gt;0")</f>
        <v>0</v>
      </c>
      <c r="M22" s="29" t="n">
        <f aca="false">COUNTIFS(条文別整理表!$A$9:$A$138,$A22,条文別整理表!$D$9:$D$138,M$4,条文別整理表!$C$9:$C$138,"&gt;0")</f>
        <v>0</v>
      </c>
      <c r="N22" s="29" t="n">
        <f aca="false">COUNTIFS(条文別整理表!$A$9:$A$138,$A22,条文別整理表!$D$9:$D$138,N$4,条文別整理表!$C$9:$C$138,"&gt;0")</f>
        <v>0</v>
      </c>
      <c r="O22" s="29" t="n">
        <f aca="false">COUNTIFS(条文別整理表!$A$9:$A$138,$A22,条文別整理表!$D$9:$D$138,O$4,条文別整理表!$C$9:$C$138,"&gt;0")</f>
        <v>0</v>
      </c>
      <c r="P22" s="29" t="n">
        <f aca="false">COUNTIFS(条文別整理表!$A$9:$A$138,$A22,条文別整理表!$D$9:$D$138,P$4,条文別整理表!$C$9:$C$138,"&gt;0")</f>
        <v>0</v>
      </c>
      <c r="Q22" s="29" t="n">
        <f aca="false">COUNTIFS(条文別整理表!$A$9:$A$138,$A22,条文別整理表!$D$9:$D$138,Q$4,条文別整理表!$C$9:$C$138,"&gt;0")</f>
        <v>0</v>
      </c>
      <c r="R22" s="29" t="n">
        <f aca="false">COUNTIFS(条文別整理表!$A$9:$A$138,$A22,条文別整理表!$D$9:$D$138,R$4,条文別整理表!$C$9:$C$138,"&gt;0")</f>
        <v>2</v>
      </c>
      <c r="S22" s="29" t="n">
        <f aca="false">COUNTIFS(条文別整理表!$A$9:$A$138,$A22,条文別整理表!$D$9:$D$138,S$4,条文別整理表!$C$9:$C$138,"&gt;0")</f>
        <v>1</v>
      </c>
      <c r="T22" s="29" t="n">
        <f aca="false">COUNTIFS(条文別整理表!$A$9:$A$138,$A22,条文別整理表!$D$9:$D$138,T$4,条文別整理表!$C$9:$C$138,"&gt;0")</f>
        <v>0</v>
      </c>
      <c r="U22" s="29" t="n">
        <f aca="false">COUNTIFS(条文別整理表!$A$9:$A$138,$A22,条文別整理表!$D$9:$D$138,U$4,条文別整理表!$C$9:$C$138,"&gt;0")</f>
        <v>0</v>
      </c>
      <c r="V22" s="29" t="n">
        <f aca="false">COUNTIFS(条文別整理表!$A$9:$A$138,$A22,条文別整理表!$D$9:$D$138,V$4,条文別整理表!$C$9:$C$138,"&gt;0")</f>
        <v>2</v>
      </c>
      <c r="W22" s="30" t="n">
        <f aca="false">SUM(D22:V22)</f>
        <v>7</v>
      </c>
      <c r="X22" s="30" t="n">
        <f aca="false">COUNTIF(D22:V22,"&gt;0")</f>
        <v>5</v>
      </c>
    </row>
    <row r="23" customFormat="false" ht="25.35" hidden="false" customHeight="false" outlineLevel="0" collapsed="false">
      <c r="A23" s="27" t="s">
        <v>199</v>
      </c>
      <c r="B23" s="28" t="str">
        <f aca="false">INDEX(条文マスタ!$B$5:$B$24,MATCH($A23,条文マスタ!$A$5:$A$24,0))</f>
        <v>第2章 監督に関する現場技術業務</v>
      </c>
      <c r="C23" s="28" t="str">
        <f aca="false">INDEX(条文マスタ!$C$5:$C$24,MATCH($A23,条文マスタ!$A$5:$A$24,0))</f>
        <v>書面での報告</v>
      </c>
      <c r="D23" s="29" t="n">
        <f aca="false">COUNTIFS(条文別整理表!$A$9:$A$138,$A23,条文別整理表!$D$9:$D$138,D$4,条文別整理表!$C$9:$C$138,"&gt;0")</f>
        <v>0</v>
      </c>
      <c r="E23" s="29" t="n">
        <f aca="false">COUNTIFS(条文別整理表!$A$9:$A$138,$A23,条文別整理表!$D$9:$D$138,E$4,条文別整理表!$C$9:$C$138,"&gt;0")</f>
        <v>0</v>
      </c>
      <c r="F23" s="29" t="n">
        <f aca="false">COUNTIFS(条文別整理表!$A$9:$A$138,$A23,条文別整理表!$D$9:$D$138,F$4,条文別整理表!$C$9:$C$138,"&gt;0")</f>
        <v>0</v>
      </c>
      <c r="G23" s="29" t="n">
        <f aca="false">COUNTIFS(条文別整理表!$A$9:$A$138,$A23,条文別整理表!$D$9:$D$138,G$4,条文別整理表!$C$9:$C$138,"&gt;0")</f>
        <v>0</v>
      </c>
      <c r="H23" s="29" t="n">
        <f aca="false">COUNTIFS(条文別整理表!$A$9:$A$138,$A23,条文別整理表!$D$9:$D$138,H$4,条文別整理表!$C$9:$C$138,"&gt;0")</f>
        <v>0</v>
      </c>
      <c r="I23" s="29" t="n">
        <f aca="false">COUNTIFS(条文別整理表!$A$9:$A$138,$A23,条文別整理表!$D$9:$D$138,I$4,条文別整理表!$C$9:$C$138,"&gt;0")</f>
        <v>0</v>
      </c>
      <c r="J23" s="29" t="n">
        <f aca="false">COUNTIFS(条文別整理表!$A$9:$A$138,$A23,条文別整理表!$D$9:$D$138,J$4,条文別整理表!$C$9:$C$138,"&gt;0")</f>
        <v>0</v>
      </c>
      <c r="K23" s="29" t="n">
        <f aca="false">COUNTIFS(条文別整理表!$A$9:$A$138,$A23,条文別整理表!$D$9:$D$138,K$4,条文別整理表!$C$9:$C$138,"&gt;0")</f>
        <v>0</v>
      </c>
      <c r="L23" s="29" t="n">
        <f aca="false">COUNTIFS(条文別整理表!$A$9:$A$138,$A23,条文別整理表!$D$9:$D$138,L$4,条文別整理表!$C$9:$C$138,"&gt;0")</f>
        <v>0</v>
      </c>
      <c r="M23" s="29" t="n">
        <f aca="false">COUNTIFS(条文別整理表!$A$9:$A$138,$A23,条文別整理表!$D$9:$D$138,M$4,条文別整理表!$C$9:$C$138,"&gt;0")</f>
        <v>0</v>
      </c>
      <c r="N23" s="29" t="n">
        <f aca="false">COUNTIFS(条文別整理表!$A$9:$A$138,$A23,条文別整理表!$D$9:$D$138,N$4,条文別整理表!$C$9:$C$138,"&gt;0")</f>
        <v>0</v>
      </c>
      <c r="O23" s="29" t="n">
        <f aca="false">COUNTIFS(条文別整理表!$A$9:$A$138,$A23,条文別整理表!$D$9:$D$138,O$4,条文別整理表!$C$9:$C$138,"&gt;0")</f>
        <v>0</v>
      </c>
      <c r="P23" s="29" t="n">
        <f aca="false">COUNTIFS(条文別整理表!$A$9:$A$138,$A23,条文別整理表!$D$9:$D$138,P$4,条文別整理表!$C$9:$C$138,"&gt;0")</f>
        <v>0</v>
      </c>
      <c r="Q23" s="29" t="n">
        <f aca="false">COUNTIFS(条文別整理表!$A$9:$A$138,$A23,条文別整理表!$D$9:$D$138,Q$4,条文別整理表!$C$9:$C$138,"&gt;0")</f>
        <v>0</v>
      </c>
      <c r="R23" s="29" t="n">
        <f aca="false">COUNTIFS(条文別整理表!$A$9:$A$138,$A23,条文別整理表!$D$9:$D$138,R$4,条文別整理表!$C$9:$C$138,"&gt;0")</f>
        <v>0</v>
      </c>
      <c r="S23" s="29" t="n">
        <f aca="false">COUNTIFS(条文別整理表!$A$9:$A$138,$A23,条文別整理表!$D$9:$D$138,S$4,条文別整理表!$C$9:$C$138,"&gt;0")</f>
        <v>0</v>
      </c>
      <c r="T23" s="29" t="n">
        <f aca="false">COUNTIFS(条文別整理表!$A$9:$A$138,$A23,条文別整理表!$D$9:$D$138,T$4,条文別整理表!$C$9:$C$138,"&gt;0")</f>
        <v>0</v>
      </c>
      <c r="U23" s="29" t="n">
        <f aca="false">COUNTIFS(条文別整理表!$A$9:$A$138,$A23,条文別整理表!$D$9:$D$138,U$4,条文別整理表!$C$9:$C$138,"&gt;0")</f>
        <v>0</v>
      </c>
      <c r="V23" s="29" t="n">
        <f aca="false">COUNTIFS(条文別整理表!$A$9:$A$138,$A23,条文別整理表!$D$9:$D$138,V$4,条文別整理表!$C$9:$C$138,"&gt;0")</f>
        <v>0</v>
      </c>
      <c r="W23" s="30" t="n">
        <f aca="false">SUM(D23:V23)</f>
        <v>0</v>
      </c>
      <c r="X23" s="30" t="n">
        <f aca="false">COUNTIF(D23:V23,"&gt;0")</f>
        <v>0</v>
      </c>
    </row>
    <row r="24" customFormat="false" ht="25.35" hidden="false" customHeight="false" outlineLevel="0" collapsed="false">
      <c r="A24" s="27" t="s">
        <v>200</v>
      </c>
      <c r="B24" s="28" t="str">
        <f aca="false">INDEX(条文マスタ!$B$5:$B$24,MATCH($A24,条文マスタ!$A$5:$A$24,0))</f>
        <v>第3章 設計に関する現場技術業務</v>
      </c>
      <c r="C24" s="28" t="str">
        <f aca="false">INDEX(条文マスタ!$C$5:$C$24,MATCH($A24,条文マスタ!$A$5:$A$24,0))</f>
        <v>設計に必要な調査</v>
      </c>
      <c r="D24" s="29" t="n">
        <f aca="false">COUNTIFS(条文別整理表!$A$9:$A$138,$A24,条文別整理表!$D$9:$D$138,D$4,条文別整理表!$C$9:$C$138,"&gt;0")</f>
        <v>0</v>
      </c>
      <c r="E24" s="29" t="n">
        <f aca="false">COUNTIFS(条文別整理表!$A$9:$A$138,$A24,条文別整理表!$D$9:$D$138,E$4,条文別整理表!$C$9:$C$138,"&gt;0")</f>
        <v>0</v>
      </c>
      <c r="F24" s="29" t="n">
        <f aca="false">COUNTIFS(条文別整理表!$A$9:$A$138,$A24,条文別整理表!$D$9:$D$138,F$4,条文別整理表!$C$9:$C$138,"&gt;0")</f>
        <v>0</v>
      </c>
      <c r="G24" s="29" t="n">
        <f aca="false">COUNTIFS(条文別整理表!$A$9:$A$138,$A24,条文別整理表!$D$9:$D$138,G$4,条文別整理表!$C$9:$C$138,"&gt;0")</f>
        <v>0</v>
      </c>
      <c r="H24" s="29" t="n">
        <f aca="false">COUNTIFS(条文別整理表!$A$9:$A$138,$A24,条文別整理表!$D$9:$D$138,H$4,条文別整理表!$C$9:$C$138,"&gt;0")</f>
        <v>0</v>
      </c>
      <c r="I24" s="29" t="n">
        <f aca="false">COUNTIFS(条文別整理表!$A$9:$A$138,$A24,条文別整理表!$D$9:$D$138,I$4,条文別整理表!$C$9:$C$138,"&gt;0")</f>
        <v>0</v>
      </c>
      <c r="J24" s="29" t="n">
        <f aca="false">COUNTIFS(条文別整理表!$A$9:$A$138,$A24,条文別整理表!$D$9:$D$138,J$4,条文別整理表!$C$9:$C$138,"&gt;0")</f>
        <v>0</v>
      </c>
      <c r="K24" s="29" t="n">
        <f aca="false">COUNTIFS(条文別整理表!$A$9:$A$138,$A24,条文別整理表!$D$9:$D$138,K$4,条文別整理表!$C$9:$C$138,"&gt;0")</f>
        <v>0</v>
      </c>
      <c r="L24" s="29" t="n">
        <f aca="false">COUNTIFS(条文別整理表!$A$9:$A$138,$A24,条文別整理表!$D$9:$D$138,L$4,条文別整理表!$C$9:$C$138,"&gt;0")</f>
        <v>3</v>
      </c>
      <c r="M24" s="29" t="n">
        <f aca="false">COUNTIFS(条文別整理表!$A$9:$A$138,$A24,条文別整理表!$D$9:$D$138,M$4,条文別整理表!$C$9:$C$138,"&gt;0")</f>
        <v>0</v>
      </c>
      <c r="N24" s="29" t="n">
        <f aca="false">COUNTIFS(条文別整理表!$A$9:$A$138,$A24,条文別整理表!$D$9:$D$138,N$4,条文別整理表!$C$9:$C$138,"&gt;0")</f>
        <v>0</v>
      </c>
      <c r="O24" s="29" t="n">
        <f aca="false">COUNTIFS(条文別整理表!$A$9:$A$138,$A24,条文別整理表!$D$9:$D$138,O$4,条文別整理表!$C$9:$C$138,"&gt;0")</f>
        <v>0</v>
      </c>
      <c r="P24" s="29" t="n">
        <f aca="false">COUNTIFS(条文別整理表!$A$9:$A$138,$A24,条文別整理表!$D$9:$D$138,P$4,条文別整理表!$C$9:$C$138,"&gt;0")</f>
        <v>0</v>
      </c>
      <c r="Q24" s="29" t="n">
        <f aca="false">COUNTIFS(条文別整理表!$A$9:$A$138,$A24,条文別整理表!$D$9:$D$138,Q$4,条文別整理表!$C$9:$C$138,"&gt;0")</f>
        <v>0</v>
      </c>
      <c r="R24" s="29" t="n">
        <f aca="false">COUNTIFS(条文別整理表!$A$9:$A$138,$A24,条文別整理表!$D$9:$D$138,R$4,条文別整理表!$C$9:$C$138,"&gt;0")</f>
        <v>3</v>
      </c>
      <c r="S24" s="29" t="n">
        <f aca="false">COUNTIFS(条文別整理表!$A$9:$A$138,$A24,条文別整理表!$D$9:$D$138,S$4,条文別整理表!$C$9:$C$138,"&gt;0")</f>
        <v>0</v>
      </c>
      <c r="T24" s="29" t="n">
        <f aca="false">COUNTIFS(条文別整理表!$A$9:$A$138,$A24,条文別整理表!$D$9:$D$138,T$4,条文別整理表!$C$9:$C$138,"&gt;0")</f>
        <v>0</v>
      </c>
      <c r="U24" s="29" t="n">
        <f aca="false">COUNTIFS(条文別整理表!$A$9:$A$138,$A24,条文別整理表!$D$9:$D$138,U$4,条文別整理表!$C$9:$C$138,"&gt;0")</f>
        <v>0</v>
      </c>
      <c r="V24" s="29" t="n">
        <f aca="false">COUNTIFS(条文別整理表!$A$9:$A$138,$A24,条文別整理表!$D$9:$D$138,V$4,条文別整理表!$C$9:$C$138,"&gt;0")</f>
        <v>0</v>
      </c>
      <c r="W24" s="30" t="n">
        <f aca="false">SUM(D24:V24)</f>
        <v>6</v>
      </c>
      <c r="X24" s="30" t="n">
        <f aca="false">COUNTIF(D24:V24,"&gt;0")</f>
        <v>2</v>
      </c>
    </row>
    <row r="25" customFormat="false" ht="25.35" hidden="false" customHeight="false" outlineLevel="0" collapsed="false">
      <c r="A25" s="27" t="s">
        <v>201</v>
      </c>
      <c r="B25" s="28" t="str">
        <f aca="false">INDEX(条文マスタ!$B$5:$B$24,MATCH($A25,条文マスタ!$A$5:$A$24,0))</f>
        <v>第3章 設計に関する現場技術業務</v>
      </c>
      <c r="C25" s="28" t="str">
        <f aca="false">INDEX(条文マスタ!$C$5:$C$24,MATCH($A25,条文マスタ!$A$5:$A$24,0))</f>
        <v>設計に必要な資料</v>
      </c>
      <c r="D25" s="29" t="n">
        <f aca="false">COUNTIFS(条文別整理表!$A$9:$A$138,$A25,条文別整理表!$D$9:$D$138,D$4,条文別整理表!$C$9:$C$138,"&gt;0")</f>
        <v>0</v>
      </c>
      <c r="E25" s="29" t="n">
        <f aca="false">COUNTIFS(条文別整理表!$A$9:$A$138,$A25,条文別整理表!$D$9:$D$138,E$4,条文別整理表!$C$9:$C$138,"&gt;0")</f>
        <v>0</v>
      </c>
      <c r="F25" s="29" t="n">
        <f aca="false">COUNTIFS(条文別整理表!$A$9:$A$138,$A25,条文別整理表!$D$9:$D$138,F$4,条文別整理表!$C$9:$C$138,"&gt;0")</f>
        <v>0</v>
      </c>
      <c r="G25" s="29" t="n">
        <f aca="false">COUNTIFS(条文別整理表!$A$9:$A$138,$A25,条文別整理表!$D$9:$D$138,G$4,条文別整理表!$C$9:$C$138,"&gt;0")</f>
        <v>0</v>
      </c>
      <c r="H25" s="29" t="n">
        <f aca="false">COUNTIFS(条文別整理表!$A$9:$A$138,$A25,条文別整理表!$D$9:$D$138,H$4,条文別整理表!$C$9:$C$138,"&gt;0")</f>
        <v>0</v>
      </c>
      <c r="I25" s="29" t="n">
        <f aca="false">COUNTIFS(条文別整理表!$A$9:$A$138,$A25,条文別整理表!$D$9:$D$138,I$4,条文別整理表!$C$9:$C$138,"&gt;0")</f>
        <v>0</v>
      </c>
      <c r="J25" s="29" t="n">
        <f aca="false">COUNTIFS(条文別整理表!$A$9:$A$138,$A25,条文別整理表!$D$9:$D$138,J$4,条文別整理表!$C$9:$C$138,"&gt;0")</f>
        <v>0</v>
      </c>
      <c r="K25" s="29" t="n">
        <f aca="false">COUNTIFS(条文別整理表!$A$9:$A$138,$A25,条文別整理表!$D$9:$D$138,K$4,条文別整理表!$C$9:$C$138,"&gt;0")</f>
        <v>0</v>
      </c>
      <c r="L25" s="29" t="n">
        <f aca="false">COUNTIFS(条文別整理表!$A$9:$A$138,$A25,条文別整理表!$D$9:$D$138,L$4,条文別整理表!$C$9:$C$138,"&gt;0")</f>
        <v>0</v>
      </c>
      <c r="M25" s="29" t="n">
        <f aca="false">COUNTIFS(条文別整理表!$A$9:$A$138,$A25,条文別整理表!$D$9:$D$138,M$4,条文別整理表!$C$9:$C$138,"&gt;0")</f>
        <v>0</v>
      </c>
      <c r="N25" s="29" t="n">
        <f aca="false">COUNTIFS(条文別整理表!$A$9:$A$138,$A25,条文別整理表!$D$9:$D$138,N$4,条文別整理表!$C$9:$C$138,"&gt;0")</f>
        <v>0</v>
      </c>
      <c r="O25" s="29" t="n">
        <f aca="false">COUNTIFS(条文別整理表!$A$9:$A$138,$A25,条文別整理表!$D$9:$D$138,O$4,条文別整理表!$C$9:$C$138,"&gt;0")</f>
        <v>0</v>
      </c>
      <c r="P25" s="29" t="n">
        <f aca="false">COUNTIFS(条文別整理表!$A$9:$A$138,$A25,条文別整理表!$D$9:$D$138,P$4,条文別整理表!$C$9:$C$138,"&gt;0")</f>
        <v>0</v>
      </c>
      <c r="Q25" s="29" t="n">
        <f aca="false">COUNTIFS(条文別整理表!$A$9:$A$138,$A25,条文別整理表!$D$9:$D$138,Q$4,条文別整理表!$C$9:$C$138,"&gt;0")</f>
        <v>0</v>
      </c>
      <c r="R25" s="29" t="n">
        <f aca="false">COUNTIFS(条文別整理表!$A$9:$A$138,$A25,条文別整理表!$D$9:$D$138,R$4,条文別整理表!$C$9:$C$138,"&gt;0")</f>
        <v>0</v>
      </c>
      <c r="S25" s="29" t="n">
        <f aca="false">COUNTIFS(条文別整理表!$A$9:$A$138,$A25,条文別整理表!$D$9:$D$138,S$4,条文別整理表!$C$9:$C$138,"&gt;0")</f>
        <v>0</v>
      </c>
      <c r="T25" s="29" t="n">
        <f aca="false">COUNTIFS(条文別整理表!$A$9:$A$138,$A25,条文別整理表!$D$9:$D$138,T$4,条文別整理表!$C$9:$C$138,"&gt;0")</f>
        <v>0</v>
      </c>
      <c r="U25" s="29" t="n">
        <f aca="false">COUNTIFS(条文別整理表!$A$9:$A$138,$A25,条文別整理表!$D$9:$D$138,U$4,条文別整理表!$C$9:$C$138,"&gt;0")</f>
        <v>0</v>
      </c>
      <c r="V25" s="29" t="n">
        <f aca="false">COUNTIFS(条文別整理表!$A$9:$A$138,$A25,条文別整理表!$D$9:$D$138,V$4,条文別整理表!$C$9:$C$138,"&gt;0")</f>
        <v>0</v>
      </c>
      <c r="W25" s="30" t="n">
        <f aca="false">SUM(D25:V25)</f>
        <v>0</v>
      </c>
      <c r="X25" s="30" t="n">
        <f aca="false">COUNTIF(D25:V25,"&gt;0")</f>
        <v>0</v>
      </c>
    </row>
    <row r="26" customFormat="false" ht="15" hidden="false" customHeight="true" outlineLevel="0" collapsed="false">
      <c r="A26" s="31" t="s">
        <v>202</v>
      </c>
      <c r="B26" s="31"/>
      <c r="C26" s="31"/>
      <c r="D26" s="32" t="n">
        <f aca="false">SUM(D6:D25)</f>
        <v>6</v>
      </c>
      <c r="E26" s="32" t="n">
        <f aca="false">SUM(E6:E25)</f>
        <v>6</v>
      </c>
      <c r="F26" s="32" t="n">
        <f aca="false">SUM(F6:F25)</f>
        <v>4</v>
      </c>
      <c r="G26" s="32" t="n">
        <f aca="false">SUM(G6:G25)</f>
        <v>5</v>
      </c>
      <c r="H26" s="32" t="n">
        <f aca="false">SUM(H6:H25)</f>
        <v>7</v>
      </c>
      <c r="I26" s="32" t="n">
        <f aca="false">SUM(I6:I25)</f>
        <v>7</v>
      </c>
      <c r="J26" s="32" t="n">
        <f aca="false">SUM(J6:J25)</f>
        <v>6</v>
      </c>
      <c r="K26" s="32" t="n">
        <f aca="false">SUM(K6:K25)</f>
        <v>7</v>
      </c>
      <c r="L26" s="32" t="n">
        <f aca="false">SUM(L6:L25)</f>
        <v>6</v>
      </c>
      <c r="M26" s="32" t="n">
        <f aca="false">SUM(M6:M25)</f>
        <v>6</v>
      </c>
      <c r="N26" s="32" t="n">
        <f aca="false">SUM(N6:N25)</f>
        <v>7</v>
      </c>
      <c r="O26" s="32" t="n">
        <f aca="false">SUM(O6:O25)</f>
        <v>5</v>
      </c>
      <c r="P26" s="32" t="n">
        <f aca="false">SUM(P6:P25)</f>
        <v>3</v>
      </c>
      <c r="Q26" s="32" t="n">
        <f aca="false">SUM(Q6:Q25)</f>
        <v>4</v>
      </c>
      <c r="R26" s="32" t="n">
        <f aca="false">SUM(R6:R25)</f>
        <v>6</v>
      </c>
      <c r="S26" s="32" t="n">
        <f aca="false">SUM(S6:S25)</f>
        <v>4</v>
      </c>
      <c r="T26" s="32" t="n">
        <f aca="false">SUM(T6:T25)</f>
        <v>5</v>
      </c>
      <c r="U26" s="32" t="n">
        <f aca="false">SUM(U6:U25)</f>
        <v>4</v>
      </c>
      <c r="V26" s="32" t="n">
        <f aca="false">SUM(V6:V25)</f>
        <v>3</v>
      </c>
      <c r="W26" s="32" t="n">
        <f aca="false">SUM(W6:W25)</f>
        <v>101</v>
      </c>
      <c r="X26" s="32" t="n">
        <f aca="false">SUMPRODUCT(--(D26:V26&gt;0))</f>
        <v>19</v>
      </c>
    </row>
    <row r="28" customFormat="false" ht="15" hidden="false" customHeight="false" outlineLevel="0" collapsed="false">
      <c r="A28" s="22" t="s">
        <v>203</v>
      </c>
    </row>
  </sheetData>
  <mergeCells count="6">
    <mergeCell ref="A4:A5"/>
    <mergeCell ref="B4:B5"/>
    <mergeCell ref="C4:C5"/>
    <mergeCell ref="W4:W5"/>
    <mergeCell ref="X4:X5"/>
    <mergeCell ref="A26:C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24"/>
    <col collapsed="false" customWidth="true" hidden="false" outlineLevel="0" max="3" min="3" style="0" width="36"/>
    <col collapsed="false" customWidth="true" hidden="false" outlineLevel="0" max="4" min="4" style="0" width="70"/>
  </cols>
  <sheetData>
    <row r="1" customFormat="false" ht="17.35" hidden="false" customHeight="false" outlineLevel="0" collapsed="false">
      <c r="A1" s="24" t="s">
        <v>204</v>
      </c>
    </row>
    <row r="2" customFormat="false" ht="15" hidden="false" customHeight="false" outlineLevel="0" collapsed="false">
      <c r="A2" s="22" t="s">
        <v>205</v>
      </c>
    </row>
    <row r="4" customFormat="false" ht="15" hidden="false" customHeight="false" outlineLevel="0" collapsed="false">
      <c r="A4" s="4" t="s">
        <v>9</v>
      </c>
      <c r="B4" s="4" t="s">
        <v>180</v>
      </c>
      <c r="C4" s="4" t="s">
        <v>10</v>
      </c>
      <c r="D4" s="4" t="s">
        <v>206</v>
      </c>
    </row>
    <row r="5" customFormat="false" ht="31.5" hidden="false" customHeight="true" outlineLevel="0" collapsed="false">
      <c r="A5" s="33" t="s">
        <v>207</v>
      </c>
      <c r="B5" s="33" t="s">
        <v>208</v>
      </c>
      <c r="C5" s="34" t="s">
        <v>209</v>
      </c>
      <c r="D5" s="34" t="s">
        <v>210</v>
      </c>
    </row>
    <row r="6" customFormat="false" ht="31.5" hidden="false" customHeight="true" outlineLevel="0" collapsed="false">
      <c r="A6" s="33" t="s">
        <v>211</v>
      </c>
      <c r="B6" s="33" t="s">
        <v>208</v>
      </c>
      <c r="C6" s="34" t="s">
        <v>212</v>
      </c>
      <c r="D6" s="34" t="s">
        <v>213</v>
      </c>
    </row>
    <row r="7" customFormat="false" ht="31.5" hidden="false" customHeight="true" outlineLevel="0" collapsed="false">
      <c r="A7" s="33" t="s">
        <v>214</v>
      </c>
      <c r="B7" s="33" t="s">
        <v>208</v>
      </c>
      <c r="C7" s="34" t="s">
        <v>215</v>
      </c>
      <c r="D7" s="34" t="s">
        <v>216</v>
      </c>
    </row>
    <row r="8" customFormat="false" ht="31.5" hidden="false" customHeight="true" outlineLevel="0" collapsed="false">
      <c r="A8" s="33" t="s">
        <v>217</v>
      </c>
      <c r="B8" s="33" t="s">
        <v>208</v>
      </c>
      <c r="C8" s="34" t="s">
        <v>218</v>
      </c>
      <c r="D8" s="34" t="s">
        <v>219</v>
      </c>
    </row>
    <row r="9" customFormat="false" ht="31.5" hidden="false" customHeight="true" outlineLevel="0" collapsed="false">
      <c r="A9" s="33" t="s">
        <v>220</v>
      </c>
      <c r="B9" s="33" t="s">
        <v>208</v>
      </c>
      <c r="C9" s="34" t="s">
        <v>221</v>
      </c>
      <c r="D9" s="34" t="s">
        <v>222</v>
      </c>
    </row>
    <row r="10" customFormat="false" ht="31.5" hidden="false" customHeight="true" outlineLevel="0" collapsed="false">
      <c r="A10" s="33" t="s">
        <v>223</v>
      </c>
      <c r="B10" s="33" t="s">
        <v>208</v>
      </c>
      <c r="C10" s="34" t="s">
        <v>224</v>
      </c>
      <c r="D10" s="34" t="s">
        <v>225</v>
      </c>
    </row>
    <row r="11" customFormat="false" ht="31.5" hidden="false" customHeight="true" outlineLevel="0" collapsed="false">
      <c r="A11" s="33" t="s">
        <v>226</v>
      </c>
      <c r="B11" s="33" t="s">
        <v>208</v>
      </c>
      <c r="C11" s="34" t="s">
        <v>227</v>
      </c>
      <c r="D11" s="34" t="s">
        <v>228</v>
      </c>
    </row>
    <row r="12" customFormat="false" ht="31.5" hidden="false" customHeight="true" outlineLevel="0" collapsed="false">
      <c r="A12" s="33" t="s">
        <v>229</v>
      </c>
      <c r="B12" s="33" t="s">
        <v>230</v>
      </c>
      <c r="C12" s="34" t="s">
        <v>231</v>
      </c>
      <c r="D12" s="34" t="s">
        <v>232</v>
      </c>
    </row>
    <row r="13" customFormat="false" ht="31.5" hidden="false" customHeight="true" outlineLevel="0" collapsed="false">
      <c r="A13" s="33" t="s">
        <v>233</v>
      </c>
      <c r="B13" s="33" t="s">
        <v>230</v>
      </c>
      <c r="C13" s="34" t="s">
        <v>234</v>
      </c>
      <c r="D13" s="34" t="s">
        <v>235</v>
      </c>
    </row>
    <row r="14" customFormat="false" ht="31.5" hidden="false" customHeight="true" outlineLevel="0" collapsed="false">
      <c r="A14" s="33" t="s">
        <v>236</v>
      </c>
      <c r="B14" s="33" t="s">
        <v>230</v>
      </c>
      <c r="C14" s="34" t="s">
        <v>237</v>
      </c>
      <c r="D14" s="34" t="s">
        <v>238</v>
      </c>
    </row>
    <row r="15" customFormat="false" ht="31.5" hidden="false" customHeight="true" outlineLevel="0" collapsed="false">
      <c r="A15" s="33" t="s">
        <v>239</v>
      </c>
      <c r="B15" s="33" t="s">
        <v>230</v>
      </c>
      <c r="C15" s="34" t="s">
        <v>240</v>
      </c>
      <c r="D15" s="34" t="s">
        <v>241</v>
      </c>
    </row>
    <row r="16" customFormat="false" ht="31.5" hidden="false" customHeight="true" outlineLevel="0" collapsed="false">
      <c r="A16" s="33" t="s">
        <v>242</v>
      </c>
      <c r="B16" s="33" t="s">
        <v>230</v>
      </c>
      <c r="C16" s="34" t="s">
        <v>243</v>
      </c>
      <c r="D16" s="34" t="s">
        <v>244</v>
      </c>
    </row>
    <row r="17" customFormat="false" ht="31.5" hidden="false" customHeight="true" outlineLevel="0" collapsed="false">
      <c r="A17" s="33" t="s">
        <v>245</v>
      </c>
      <c r="B17" s="33" t="s">
        <v>230</v>
      </c>
      <c r="C17" s="34" t="s">
        <v>246</v>
      </c>
      <c r="D17" s="34" t="s">
        <v>247</v>
      </c>
    </row>
    <row r="18" customFormat="false" ht="31.5" hidden="false" customHeight="true" outlineLevel="0" collapsed="false">
      <c r="A18" s="33" t="s">
        <v>248</v>
      </c>
      <c r="B18" s="33" t="s">
        <v>230</v>
      </c>
      <c r="C18" s="34" t="s">
        <v>249</v>
      </c>
      <c r="D18" s="34" t="s">
        <v>250</v>
      </c>
    </row>
    <row r="19" customFormat="false" ht="31.5" hidden="false" customHeight="true" outlineLevel="0" collapsed="false">
      <c r="A19" s="33" t="s">
        <v>251</v>
      </c>
      <c r="B19" s="33" t="s">
        <v>230</v>
      </c>
      <c r="C19" s="34" t="s">
        <v>252</v>
      </c>
      <c r="D19" s="34" t="s">
        <v>253</v>
      </c>
    </row>
    <row r="20" customFormat="false" ht="31.5" hidden="false" customHeight="true" outlineLevel="0" collapsed="false">
      <c r="A20" s="33" t="s">
        <v>254</v>
      </c>
      <c r="B20" s="33" t="s">
        <v>230</v>
      </c>
      <c r="C20" s="34" t="s">
        <v>255</v>
      </c>
      <c r="D20" s="34" t="s">
        <v>256</v>
      </c>
    </row>
    <row r="21" customFormat="false" ht="31.5" hidden="false" customHeight="true" outlineLevel="0" collapsed="false">
      <c r="A21" s="33" t="s">
        <v>257</v>
      </c>
      <c r="B21" s="33" t="s">
        <v>230</v>
      </c>
      <c r="C21" s="34" t="s">
        <v>258</v>
      </c>
      <c r="D21" s="34" t="s">
        <v>259</v>
      </c>
    </row>
    <row r="22" customFormat="false" ht="31.5" hidden="false" customHeight="true" outlineLevel="0" collapsed="false">
      <c r="A22" s="33" t="s">
        <v>260</v>
      </c>
      <c r="B22" s="33" t="s">
        <v>230</v>
      </c>
      <c r="C22" s="34" t="s">
        <v>261</v>
      </c>
      <c r="D22" s="34" t="s">
        <v>262</v>
      </c>
    </row>
    <row r="23" customFormat="false" ht="31.5" hidden="false" customHeight="true" outlineLevel="0" collapsed="false">
      <c r="A23" s="33" t="s">
        <v>263</v>
      </c>
      <c r="B23" s="33" t="s">
        <v>264</v>
      </c>
      <c r="C23" s="34" t="s">
        <v>265</v>
      </c>
      <c r="D23" s="34" t="s">
        <v>266</v>
      </c>
    </row>
    <row r="24" customFormat="false" ht="31.5" hidden="false" customHeight="true" outlineLevel="0" collapsed="false">
      <c r="A24" s="33" t="s">
        <v>267</v>
      </c>
      <c r="B24" s="33" t="s">
        <v>264</v>
      </c>
      <c r="C24" s="34" t="s">
        <v>268</v>
      </c>
      <c r="D24" s="34" t="s">
        <v>269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2026-10-01T04:51:27Z</dcterms:created>
  <dc:creator>openpyxl</dc:creator>
  <dc:description/>
  <dc:language>en-US</dc:language>
  <cp:lastModifiedBy/>
  <dcterms:modified xsi:type="dcterms:W3CDTF">2026-10-01T04:51:27Z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