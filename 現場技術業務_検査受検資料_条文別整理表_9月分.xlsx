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条文別整理表" sheetId="1" state="visible" r:id="rId3"/>
    <sheet name="条文別集計" sheetId="2" state="visible" r:id="rId4"/>
    <sheet name="条文マスタ" sheetId="3" state="visible" r:id="rId5"/>
  </sheets>
  <definedNames>
    <definedName function="false" hidden="false" localSheetId="0" name="_xlnm.Print_Area" vbProcedure="false">条文別整理表!$A$1:$L$119</definedName>
    <definedName function="false" hidden="false" localSheetId="0" name="_xlnm.Print_Titles" vbProcedure="false">条文別整理表!$7:$7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<sst xmlns="http://schemas.openxmlformats.org/spreadsheetml/2006/main" count="507" uniqueCount="159">
  <si>
    <r>
      <rPr>
        <b val="true"/>
        <sz val="16"/>
        <rFont val="WenQuanYi Zen Hei"/>
        <family val="2"/>
      </rPr>
      <t xml:space="preserve">現場技術業務　検査受検資料　条文別整理表（令和</t>
    </r>
    <r>
      <rPr>
        <b val="true"/>
        <sz val="16"/>
        <rFont val="ＭＳ Ｐ明朝"/>
        <family val="0"/>
        <charset val="1"/>
      </rPr>
      <t xml:space="preserve">8</t>
    </r>
    <r>
      <rPr>
        <b val="true"/>
        <sz val="16"/>
        <rFont val="WenQuanYi Zen Hei"/>
        <family val="2"/>
      </rPr>
      <t xml:space="preserve">年</t>
    </r>
    <r>
      <rPr>
        <b val="true"/>
        <sz val="16"/>
        <rFont val="ＭＳ Ｐ明朝"/>
        <family val="0"/>
        <charset val="1"/>
      </rPr>
      <t xml:space="preserve">9</t>
    </r>
    <r>
      <rPr>
        <b val="true"/>
        <sz val="16"/>
        <rFont val="WenQuanYi Zen Hei"/>
        <family val="2"/>
      </rPr>
      <t xml:space="preserve">月分）</t>
    </r>
  </si>
  <si>
    <t xml:space="preserve">業務番号</t>
  </si>
  <si>
    <r>
      <rPr>
        <sz val="10"/>
        <rFont val="WenQuanYi Zen Hei"/>
        <family val="2"/>
      </rPr>
      <t xml:space="preserve">丹後７府民協働第１４９９の２号の２の１他</t>
    </r>
    <r>
      <rPr>
        <sz val="10"/>
        <rFont val="ＭＳ Ｐ明朝"/>
        <family val="0"/>
        <charset val="1"/>
      </rPr>
      <t xml:space="preserve">1</t>
    </r>
    <r>
      <rPr>
        <sz val="10"/>
        <rFont val="WenQuanYi Zen Hei"/>
        <family val="2"/>
      </rPr>
      <t xml:space="preserve">件</t>
    </r>
  </si>
  <si>
    <t xml:space="preserve">業務名</t>
  </si>
  <si>
    <t xml:space="preserve">管内一円 府民協働型インフラ保全業務委託 他１件</t>
  </si>
  <si>
    <t xml:space="preserve">対象期間</t>
  </si>
  <si>
    <r>
      <rPr>
        <sz val="10"/>
        <rFont val="WenQuanYi Zen Hei"/>
        <family val="2"/>
      </rPr>
      <t xml:space="preserve">令和</t>
    </r>
    <r>
      <rPr>
        <sz val="10"/>
        <rFont val="ＭＳ Ｐ明朝"/>
        <family val="0"/>
        <charset val="1"/>
      </rPr>
      <t xml:space="preserve">8</t>
    </r>
    <r>
      <rPr>
        <sz val="10"/>
        <rFont val="WenQuanYi Zen Hei"/>
        <family val="2"/>
      </rPr>
      <t xml:space="preserve">年</t>
    </r>
    <r>
      <rPr>
        <sz val="10"/>
        <rFont val="ＭＳ Ｐ明朝"/>
        <family val="0"/>
        <charset val="1"/>
      </rPr>
      <t xml:space="preserve">9</t>
    </r>
    <r>
      <rPr>
        <sz val="10"/>
        <rFont val="WenQuanYi Zen Hei"/>
        <family val="2"/>
      </rPr>
      <t xml:space="preserve">月</t>
    </r>
    <r>
      <rPr>
        <sz val="10"/>
        <rFont val="ＭＳ Ｐ明朝"/>
        <family val="0"/>
        <charset val="1"/>
      </rPr>
      <t xml:space="preserve">1</t>
    </r>
    <r>
      <rPr>
        <sz val="10"/>
        <rFont val="WenQuanYi Zen Hei"/>
        <family val="2"/>
      </rPr>
      <t xml:space="preserve">日（火）～ 令和</t>
    </r>
    <r>
      <rPr>
        <sz val="10"/>
        <rFont val="ＭＳ Ｐ明朝"/>
        <family val="0"/>
        <charset val="1"/>
      </rPr>
      <t xml:space="preserve">8</t>
    </r>
    <r>
      <rPr>
        <sz val="10"/>
        <rFont val="WenQuanYi Zen Hei"/>
        <family val="2"/>
      </rPr>
      <t xml:space="preserve">年</t>
    </r>
    <r>
      <rPr>
        <sz val="10"/>
        <rFont val="ＭＳ Ｐ明朝"/>
        <family val="0"/>
        <charset val="1"/>
      </rPr>
      <t xml:space="preserve">9</t>
    </r>
    <r>
      <rPr>
        <sz val="10"/>
        <rFont val="WenQuanYi Zen Hei"/>
        <family val="2"/>
      </rPr>
      <t xml:space="preserve">月</t>
    </r>
    <r>
      <rPr>
        <sz val="10"/>
        <rFont val="ＭＳ Ｐ明朝"/>
        <family val="0"/>
        <charset val="1"/>
      </rPr>
      <t xml:space="preserve">30</t>
    </r>
    <r>
      <rPr>
        <sz val="10"/>
        <rFont val="WenQuanYi Zen Hei"/>
        <family val="2"/>
      </rPr>
      <t xml:space="preserve">日（水）　履行日数 </t>
    </r>
    <r>
      <rPr>
        <sz val="10"/>
        <rFont val="ＭＳ Ｐ明朝"/>
        <family val="0"/>
        <charset val="1"/>
      </rPr>
      <t xml:space="preserve">19</t>
    </r>
    <r>
      <rPr>
        <sz val="10"/>
        <rFont val="WenQuanYi Zen Hei"/>
        <family val="2"/>
      </rPr>
      <t xml:space="preserve">日（業務処理結果報告書 №</t>
    </r>
    <r>
      <rPr>
        <sz val="10"/>
        <rFont val="ＭＳ Ｐ明朝"/>
        <family val="0"/>
        <charset val="1"/>
      </rPr>
      <t xml:space="preserve">104</t>
    </r>
    <r>
      <rPr>
        <sz val="10"/>
        <rFont val="WenQuanYi Zen Hei"/>
        <family val="2"/>
      </rPr>
      <t xml:space="preserve">～№</t>
    </r>
    <r>
      <rPr>
        <sz val="10"/>
        <rFont val="ＭＳ Ｐ明朝"/>
        <family val="0"/>
        <charset val="1"/>
      </rPr>
      <t xml:space="preserve">122</t>
    </r>
    <r>
      <rPr>
        <sz val="10"/>
        <rFont val="WenQuanYi Zen Hei"/>
        <family val="2"/>
      </rPr>
      <t xml:space="preserve">）</t>
    </r>
  </si>
  <si>
    <t xml:space="preserve">区分</t>
  </si>
  <si>
    <t xml:space="preserve">条文番号</t>
  </si>
  <si>
    <t xml:space="preserve">No.</t>
  </si>
  <si>
    <t xml:space="preserve">実施日</t>
  </si>
  <si>
    <t xml:space="preserve">曜</t>
  </si>
  <si>
    <t xml:space="preserve">開始時刻</t>
  </si>
  <si>
    <t xml:space="preserve">対象工事・業務</t>
  </si>
  <si>
    <t xml:space="preserve">実施内容</t>
  </si>
  <si>
    <t xml:space="preserve">相手先／検査官</t>
  </si>
  <si>
    <t xml:space="preserve">担当監督員</t>
  </si>
  <si>
    <t xml:space="preserve">報告書№</t>
  </si>
  <si>
    <t xml:space="preserve">備考</t>
  </si>
  <si>
    <t xml:space="preserve">実施日数</t>
  </si>
  <si>
    <t xml:space="preserve">AM9:30</t>
  </si>
  <si>
    <t xml:space="preserve">川上谷川緊急浚渫推進（河川）工事</t>
  </si>
  <si>
    <t xml:space="preserve">川上谷川緊急浚渫  修正資料確認他</t>
  </si>
  <si>
    <t xml:space="preserve">小林主査</t>
  </si>
  <si>
    <t xml:space="preserve">PM1:30</t>
  </si>
  <si>
    <t xml:space="preserve">川上谷川緊急浚渫  修正資料再確認他</t>
  </si>
  <si>
    <t xml:space="preserve">AM11:00</t>
  </si>
  <si>
    <t xml:space="preserve">川上谷川緊急浚渫  修正資料確認</t>
  </si>
  <si>
    <t xml:space="preserve">管内一円（河梨川他）府民協働型インフラ保全工事</t>
  </si>
  <si>
    <t xml:space="preserve">河梨川他インフラ  数量計算書確認</t>
  </si>
  <si>
    <t xml:space="preserve">倉垣副主査</t>
  </si>
  <si>
    <t xml:space="preserve">PM2:00</t>
  </si>
  <si>
    <t xml:space="preserve">管内一円（成願寺川）緊急浚渫推進（砂防）工事他</t>
  </si>
  <si>
    <t xml:space="preserve">成願寺川他 設計図書確認</t>
  </si>
  <si>
    <t xml:space="preserve">小林主査 他</t>
  </si>
  <si>
    <t xml:space="preserve">AM9:00</t>
  </si>
  <si>
    <t xml:space="preserve">河梨川他インフラ 変更数量点検</t>
  </si>
  <si>
    <t xml:space="preserve">PM1:00</t>
  </si>
  <si>
    <t xml:space="preserve">PM3:00</t>
  </si>
  <si>
    <t xml:space="preserve">【河川砂防課】河梨川他インフラ 数量点検資料提出打合せ</t>
  </si>
  <si>
    <t xml:space="preserve">変更数量表受理確認（河梨川他インフラ）</t>
  </si>
  <si>
    <t xml:space="preserve">竹野川他府民協働型インフラ保全工事</t>
  </si>
  <si>
    <t xml:space="preserve">竹野川他インフラ 変更土量等再確認</t>
  </si>
  <si>
    <t xml:space="preserve">管内一円（成願寺川）緊急浚渫推進（砂防）工事</t>
  </si>
  <si>
    <t xml:space="preserve">成願寺川緊急浚渫 設計図書確認～打合せ事項メモ作成</t>
  </si>
  <si>
    <r>
      <rPr>
        <sz val="10"/>
        <color rgb="FF000000"/>
        <rFont val="WenQuanYi Zen Hei"/>
        <family val="2"/>
      </rPr>
      <t xml:space="preserve">成願寺川緊急浚渫 打合せ事項メモ確認</t>
    </r>
    <r>
      <rPr>
        <sz val="10"/>
        <color rgb="FF000000"/>
        <rFont val="ＭＳ Ｐ明朝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小林主査作成）</t>
    </r>
  </si>
  <si>
    <t xml:space="preserve">川上谷川緊急浚渫推進（河川）工事／管内一円（成願寺川）緊急浚渫推進（砂防）工事</t>
  </si>
  <si>
    <r>
      <rPr>
        <sz val="10"/>
        <color rgb="FF000000"/>
        <rFont val="WenQuanYi Zen Hei"/>
        <family val="2"/>
      </rPr>
      <t xml:space="preserve">設計図書確認（川上谷川</t>
    </r>
    <r>
      <rPr>
        <sz val="10"/>
        <color rgb="FF000000"/>
        <rFont val="ＭＳ Ｐ明朝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成願寺川緊急浚渫）</t>
    </r>
  </si>
  <si>
    <t xml:space="preserve">AM10:00</t>
  </si>
  <si>
    <t xml:space="preserve">川上谷川緊急浚渫（小林主査作成数量総括表確認）</t>
  </si>
  <si>
    <t xml:space="preserve">川上谷川緊急浚渫 施工計画書点検</t>
  </si>
  <si>
    <t xml:space="preserve">川上谷川緊急浚渫 施工計画書再チェック（メール受信）</t>
  </si>
  <si>
    <t xml:space="preserve">【書面資料打合せ】川上谷川緊急浚渫 施工計画書他</t>
  </si>
  <si>
    <t xml:space="preserve">小野澤建材㈱</t>
  </si>
  <si>
    <t xml:space="preserve">施工体制台帳点検（川上谷川緊急浚渫）</t>
  </si>
  <si>
    <r>
      <rPr>
        <sz val="10"/>
        <color rgb="FF000000"/>
        <rFont val="ＭＳ Ｐ明朝"/>
        <family val="0"/>
        <charset val="1"/>
      </rPr>
      <t xml:space="preserve">ASP </t>
    </r>
    <r>
      <rPr>
        <sz val="10"/>
        <color rgb="FF000000"/>
        <rFont val="WenQuanYi Zen Hei"/>
        <family val="2"/>
      </rPr>
      <t xml:space="preserve">再生資源利用実施書再確認</t>
    </r>
  </si>
  <si>
    <t xml:space="preserve">㈱修己建設</t>
  </si>
  <si>
    <r>
      <rPr>
        <sz val="10"/>
        <color rgb="FF000000"/>
        <rFont val="ＭＳ Ｐ明朝"/>
        <family val="0"/>
        <charset val="1"/>
      </rPr>
      <t xml:space="preserve">ASP </t>
    </r>
    <r>
      <rPr>
        <sz val="10"/>
        <color rgb="FF000000"/>
        <rFont val="WenQuanYi Zen Hei"/>
        <family val="2"/>
      </rPr>
      <t xml:space="preserve">再生資源利用実施書確認～再修正依頼（修己建設）</t>
    </r>
  </si>
  <si>
    <r>
      <rPr>
        <sz val="10"/>
        <color rgb="FF000000"/>
        <rFont val="ＭＳ Ｐ明朝"/>
        <family val="0"/>
        <charset val="1"/>
      </rPr>
      <t xml:space="preserve">ASP </t>
    </r>
    <r>
      <rPr>
        <sz val="10"/>
        <color rgb="FF000000"/>
        <rFont val="WenQuanYi Zen Hei"/>
        <family val="2"/>
      </rPr>
      <t xml:space="preserve">再生資源利用実施書修正確認（修己建設）</t>
    </r>
  </si>
  <si>
    <t xml:space="preserve">川上谷川緊急浚渫 施工体制台帳点検</t>
  </si>
  <si>
    <t xml:space="preserve">再生資源利用実施書修正確認（修己建設）</t>
  </si>
  <si>
    <t xml:space="preserve">成願寺川浚渫 施工計画書点検（サンキ工業）</t>
  </si>
  <si>
    <t xml:space="preserve">現場立会 久美浜町金谷・畑地区</t>
  </si>
  <si>
    <t xml:space="preserve">PM3:30</t>
  </si>
  <si>
    <t xml:space="preserve">川上谷川緊急浚渫推進立会議事整理</t>
  </si>
  <si>
    <t xml:space="preserve">川上谷川緊急浚渫 立会メモ資料追記</t>
  </si>
  <si>
    <r>
      <rPr>
        <sz val="10"/>
        <color rgb="FF000000"/>
        <rFont val="WenQuanYi Zen Hei"/>
        <family val="2"/>
      </rPr>
      <t xml:space="preserve">川上谷川緊急浚渫 立会メモ再確認</t>
    </r>
    <r>
      <rPr>
        <sz val="10"/>
        <color rgb="FF000000"/>
        <rFont val="ＭＳ Ｐ明朝"/>
        <family val="0"/>
        <charset val="1"/>
      </rPr>
      <t xml:space="preserve">ASP</t>
    </r>
    <r>
      <rPr>
        <sz val="10"/>
        <color rgb="FF000000"/>
        <rFont val="WenQuanYi Zen Hei"/>
        <family val="2"/>
      </rPr>
      <t xml:space="preserve">へアップ</t>
    </r>
  </si>
  <si>
    <t xml:space="preserve">現場調査</t>
  </si>
  <si>
    <t xml:space="preserve">サンキ工業㈱</t>
  </si>
  <si>
    <t xml:space="preserve">工事成果品点検～返却（竹野川他府民インフラ保全工事）</t>
  </si>
  <si>
    <t xml:space="preserve">竹野川他インフラ 成果品市チェック</t>
  </si>
  <si>
    <t xml:space="preserve">工事成果品確認 （竹野川他インフラ）</t>
  </si>
  <si>
    <t xml:space="preserve">工事成果品再確認 （竹野川他インフラ）</t>
  </si>
  <si>
    <r>
      <rPr>
        <sz val="10"/>
        <color rgb="FF000000"/>
        <rFont val="WenQuanYi Zen Hei"/>
        <family val="2"/>
      </rPr>
      <t xml:space="preserve">下検査前 </t>
    </r>
    <r>
      <rPr>
        <sz val="10"/>
        <color rgb="FF000000"/>
        <rFont val="ＭＳ Ｐ明朝"/>
        <family val="0"/>
        <charset val="1"/>
      </rPr>
      <t xml:space="preserve">ASP</t>
    </r>
    <r>
      <rPr>
        <sz val="10"/>
        <color rgb="FF000000"/>
        <rFont val="WenQuanYi Zen Hei"/>
        <family val="2"/>
      </rPr>
      <t xml:space="preserve">内成果品リスト確認 （竹野川他インフラ）</t>
    </r>
  </si>
  <si>
    <t xml:space="preserve">工事完成下検査（主任監督員）</t>
  </si>
  <si>
    <r>
      <rPr>
        <sz val="10"/>
        <color rgb="FF000000"/>
        <rFont val="WenQuanYi Zen Hei"/>
        <family val="2"/>
      </rPr>
      <t xml:space="preserve">下検査指摘事項による書面見直し</t>
    </r>
    <r>
      <rPr>
        <sz val="10"/>
        <color rgb="FF000000"/>
        <rFont val="ＭＳ Ｐ明朝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竹野川他インフラ</t>
    </r>
    <r>
      <rPr>
        <sz val="10"/>
        <color rgb="FF000000"/>
        <rFont val="ＭＳ Ｐ明朝"/>
        <family val="0"/>
        <charset val="1"/>
      </rPr>
      <t xml:space="preserve">)</t>
    </r>
  </si>
  <si>
    <t xml:space="preserve">【書面資料打合せ】竹野川他インフラ 工事成果品確認</t>
  </si>
  <si>
    <t xml:space="preserve">AM10:30</t>
  </si>
  <si>
    <t xml:space="preserve">施工プロセスチェックシート（竹野川他インフラ）</t>
  </si>
  <si>
    <t xml:space="preserve">PM2:30</t>
  </si>
  <si>
    <t xml:space="preserve">プロセスチェックシート修正（竹野川他インフラ）</t>
  </si>
  <si>
    <t xml:space="preserve">【書面資料打合せ】竹野川他インフラ 工事成果品再確認</t>
  </si>
  <si>
    <t xml:space="preserve">工事成果品修正打合せ （竹野川他インフラ）</t>
  </si>
  <si>
    <t xml:space="preserve">竣工検査立会（書面）</t>
  </si>
  <si>
    <r>
      <rPr>
        <sz val="10"/>
        <color rgb="FF000000"/>
        <rFont val="WenQuanYi Zen Hei"/>
        <family val="2"/>
      </rPr>
      <t xml:space="preserve">大橋検査官 </t>
    </r>
    <r>
      <rPr>
        <sz val="10"/>
        <color rgb="FF000000"/>
        <rFont val="ＭＳ Ｐ明朝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㈱修己建設</t>
    </r>
  </si>
  <si>
    <t xml:space="preserve">竣工検査立会（現地）</t>
  </si>
  <si>
    <t xml:space="preserve">河梨川他インフラ工事 出来形図書点検</t>
  </si>
  <si>
    <t xml:space="preserve">河梨川他インフラ工事 プロセスチェックシート取り纏め</t>
  </si>
  <si>
    <t xml:space="preserve">【河川砂防課】河梨川他インフラ 完成図書下検査（西田建設）</t>
  </si>
  <si>
    <r>
      <rPr>
        <sz val="10"/>
        <color rgb="FF000000"/>
        <rFont val="WenQuanYi Zen Hei"/>
        <family val="2"/>
      </rPr>
      <t xml:space="preserve">常本検査官 </t>
    </r>
    <r>
      <rPr>
        <sz val="10"/>
        <color rgb="FF000000"/>
        <rFont val="ＭＳ Ｐ明朝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西田建設㈱</t>
    </r>
  </si>
  <si>
    <t xml:space="preserve">竣工検査立会（現場）</t>
  </si>
  <si>
    <r>
      <rPr>
        <sz val="10"/>
        <color rgb="FF000000"/>
        <rFont val="ＭＳ Ｐ明朝"/>
        <family val="0"/>
        <charset val="1"/>
      </rPr>
      <t xml:space="preserve">ASP</t>
    </r>
    <r>
      <rPr>
        <sz val="10"/>
        <color rgb="FF000000"/>
        <rFont val="WenQuanYi Zen Hei"/>
        <family val="2"/>
      </rPr>
      <t xml:space="preserve">内容確認（河梨川他府民インフラ保全工事）</t>
    </r>
  </si>
  <si>
    <r>
      <rPr>
        <sz val="10"/>
        <color rgb="FF000000"/>
        <rFont val="WenQuanYi Zen Hei"/>
        <family val="2"/>
      </rPr>
      <t xml:space="preserve">川上谷川緊急浚渫  </t>
    </r>
    <r>
      <rPr>
        <sz val="10"/>
        <color rgb="FF000000"/>
        <rFont val="ＭＳ Ｐ明朝"/>
        <family val="0"/>
        <charset val="1"/>
      </rPr>
      <t xml:space="preserve">ASP</t>
    </r>
    <r>
      <rPr>
        <sz val="10"/>
        <color rgb="FF000000"/>
        <rFont val="WenQuanYi Zen Hei"/>
        <family val="2"/>
      </rPr>
      <t xml:space="preserve">内容他打合せ</t>
    </r>
  </si>
  <si>
    <r>
      <rPr>
        <sz val="10"/>
        <color rgb="FF000000"/>
        <rFont val="WenQuanYi Zen Hei"/>
        <family val="2"/>
      </rPr>
      <t xml:space="preserve">河梨川他インフラ </t>
    </r>
    <r>
      <rPr>
        <sz val="10"/>
        <color rgb="FF000000"/>
        <rFont val="ＭＳ Ｐ明朝"/>
        <family val="0"/>
        <charset val="1"/>
      </rPr>
      <t xml:space="preserve">ASP </t>
    </r>
    <r>
      <rPr>
        <sz val="10"/>
        <color rgb="FF000000"/>
        <rFont val="WenQuanYi Zen Hei"/>
        <family val="2"/>
      </rPr>
      <t xml:space="preserve">段階確認資料確認</t>
    </r>
  </si>
  <si>
    <r>
      <rPr>
        <sz val="10"/>
        <color rgb="FF000000"/>
        <rFont val="ＭＳ Ｐ明朝"/>
        <family val="0"/>
        <charset val="1"/>
      </rPr>
      <t xml:space="preserve">ASP</t>
    </r>
    <r>
      <rPr>
        <sz val="10"/>
        <color rgb="FF000000"/>
        <rFont val="WenQuanYi Zen Hei"/>
        <family val="2"/>
      </rPr>
      <t xml:space="preserve">内容確認 （竹野川他インフラ）</t>
    </r>
  </si>
  <si>
    <r>
      <rPr>
        <sz val="10"/>
        <color rgb="FF000000"/>
        <rFont val="WenQuanYi Zen Hei"/>
        <family val="2"/>
      </rPr>
      <t xml:space="preserve">川上谷川緊急浚渫 </t>
    </r>
    <r>
      <rPr>
        <sz val="10"/>
        <color rgb="FF000000"/>
        <rFont val="ＭＳ Ｐ明朝"/>
        <family val="0"/>
        <charset val="1"/>
      </rPr>
      <t xml:space="preserve">ASP</t>
    </r>
    <r>
      <rPr>
        <sz val="10"/>
        <color rgb="FF000000"/>
        <rFont val="WenQuanYi Zen Hei"/>
        <family val="2"/>
      </rPr>
      <t xml:space="preserve">へ追記資料アップ</t>
    </r>
  </si>
  <si>
    <r>
      <rPr>
        <sz val="10"/>
        <color rgb="FF000000"/>
        <rFont val="ＭＳ Ｐ明朝"/>
        <family val="0"/>
        <charset val="1"/>
      </rPr>
      <t xml:space="preserve">ASP</t>
    </r>
    <r>
      <rPr>
        <sz val="10"/>
        <color rgb="FF000000"/>
        <rFont val="WenQuanYi Zen Hei"/>
        <family val="2"/>
      </rPr>
      <t xml:space="preserve">内 提出資料確認</t>
    </r>
  </si>
  <si>
    <r>
      <rPr>
        <sz val="10"/>
        <color rgb="FF000000"/>
        <rFont val="WenQuanYi Zen Hei"/>
        <family val="2"/>
      </rPr>
      <t xml:space="preserve">河梨川他インフラ </t>
    </r>
    <r>
      <rPr>
        <sz val="10"/>
        <color rgb="FF000000"/>
        <rFont val="ＭＳ Ｐ明朝"/>
        <family val="0"/>
        <charset val="1"/>
      </rPr>
      <t xml:space="preserve">ASP</t>
    </r>
    <r>
      <rPr>
        <sz val="10"/>
        <color rgb="FF000000"/>
        <rFont val="WenQuanYi Zen Hei"/>
        <family val="2"/>
      </rPr>
      <t xml:space="preserve">内確認</t>
    </r>
  </si>
  <si>
    <r>
      <rPr>
        <sz val="10"/>
        <color rgb="FF000000"/>
        <rFont val="WenQuanYi Zen Hei"/>
        <family val="2"/>
      </rPr>
      <t xml:space="preserve">河梨川他インフラ </t>
    </r>
    <r>
      <rPr>
        <sz val="10"/>
        <color rgb="FF000000"/>
        <rFont val="ＭＳ Ｐ明朝"/>
        <family val="0"/>
        <charset val="1"/>
      </rPr>
      <t xml:space="preserve">ASP</t>
    </r>
    <r>
      <rPr>
        <sz val="10"/>
        <color rgb="FF000000"/>
        <rFont val="WenQuanYi Zen Hei"/>
        <family val="2"/>
      </rPr>
      <t xml:space="preserve">提出書類点検</t>
    </r>
  </si>
  <si>
    <t xml:space="preserve">川上谷川緊急浚渫 別途参考計画書等準備</t>
  </si>
  <si>
    <t xml:space="preserve">PM4:00</t>
  </si>
  <si>
    <t xml:space="preserve">川上谷川緊急浚渫 案内ビラ再チェック</t>
  </si>
  <si>
    <t xml:space="preserve">【河川砂防課】工事初回打合せ 成願寺川緊急浚渫</t>
  </si>
  <si>
    <t xml:space="preserve">AM8:45</t>
  </si>
  <si>
    <t xml:space="preserve">管内一円（宇川）府民協働型インフラ保全工事他３件</t>
  </si>
  <si>
    <t xml:space="preserve">地元立会用資料（案）打合せ</t>
  </si>
  <si>
    <t xml:space="preserve">乾技師</t>
  </si>
  <si>
    <r>
      <rPr>
        <sz val="10"/>
        <color rgb="FF000000"/>
        <rFont val="WenQuanYi Zen Hei"/>
        <family val="2"/>
      </rPr>
      <t xml:space="preserve">竹野川（小西川）広域河川改修（補正・防災安全）工事ほか</t>
    </r>
    <r>
      <rPr>
        <sz val="10"/>
        <color rgb="FF000000"/>
        <rFont val="ＭＳ Ｐ明朝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件</t>
    </r>
  </si>
  <si>
    <t xml:space="preserve">地元立会用資料（案）作成</t>
  </si>
  <si>
    <t xml:space="preserve">―</t>
  </si>
  <si>
    <t xml:space="preserve">工事着手前参考資料作成</t>
  </si>
  <si>
    <t xml:space="preserve">AM8:30</t>
  </si>
  <si>
    <t xml:space="preserve">竹野川（小西川）広域河川改修（補正・防災安全）工事</t>
  </si>
  <si>
    <t xml:space="preserve">工事初回打合せ</t>
  </si>
  <si>
    <t xml:space="preserve">㈱丸正組</t>
  </si>
  <si>
    <t xml:space="preserve">竹野川（小西川）広域河川改修 着手前資料作成</t>
  </si>
  <si>
    <t xml:space="preserve">AM11:30</t>
  </si>
  <si>
    <t xml:space="preserve">第２四半期調査</t>
  </si>
  <si>
    <t xml:space="preserve">第２四半期調査 過積載点検表作成</t>
  </si>
  <si>
    <t xml:space="preserve">河口・海岸 定期観測</t>
  </si>
  <si>
    <t xml:space="preserve">木津川河口 定期観測：観測調査作業</t>
  </si>
  <si>
    <r>
      <rPr>
        <sz val="10"/>
        <color rgb="FF000000"/>
        <rFont val="WenQuanYi Zen Hei"/>
        <family val="2"/>
      </rPr>
      <t xml:space="preserve">宇川河口 定期観測：観測調査作業</t>
    </r>
    <r>
      <rPr>
        <sz val="10"/>
        <color rgb="FF000000"/>
        <rFont val="ＭＳ Ｐ明朝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丹後・上野）</t>
    </r>
  </si>
  <si>
    <r>
      <rPr>
        <sz val="10"/>
        <color rgb="FF000000"/>
        <rFont val="WenQuanYi Zen Hei"/>
        <family val="2"/>
      </rPr>
      <t xml:space="preserve">久僧海岸</t>
    </r>
    <r>
      <rPr>
        <sz val="10"/>
        <color rgb="FF000000"/>
        <rFont val="ＭＳ Ｐ明朝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吉野川河口 定期観測：観測調査作業</t>
    </r>
    <r>
      <rPr>
        <sz val="10"/>
        <color rgb="FF000000"/>
        <rFont val="ＭＳ Ｐ明朝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丹後・久僧）</t>
    </r>
  </si>
  <si>
    <r>
      <rPr>
        <sz val="10"/>
        <color rgb="FF000000"/>
        <rFont val="ＭＳ Ｐ明朝"/>
        <family val="0"/>
        <charset val="1"/>
      </rPr>
      <t xml:space="preserve">AM8:30 </t>
    </r>
    <r>
      <rPr>
        <sz val="10"/>
        <color rgb="FF000000"/>
        <rFont val="WenQuanYi Zen Hei"/>
        <family val="2"/>
      </rPr>
      <t xml:space="preserve">業務内容打合せ、</t>
    </r>
    <r>
      <rPr>
        <sz val="10"/>
        <color rgb="FF000000"/>
        <rFont val="ＭＳ Ｐ明朝"/>
        <family val="0"/>
        <charset val="1"/>
      </rPr>
      <t xml:space="preserve">PM4:30 </t>
    </r>
    <r>
      <rPr>
        <sz val="10"/>
        <color rgb="FF000000"/>
        <rFont val="WenQuanYi Zen Hei"/>
        <family val="2"/>
      </rPr>
      <t xml:space="preserve">業務処理結果報告書作成、</t>
    </r>
    <r>
      <rPr>
        <sz val="10"/>
        <color rgb="FF000000"/>
        <rFont val="ＭＳ Ｐ明朝"/>
        <family val="0"/>
        <charset val="1"/>
      </rPr>
      <t xml:space="preserve">PM5:10 </t>
    </r>
    <r>
      <rPr>
        <sz val="10"/>
        <color rgb="FF000000"/>
        <rFont val="WenQuanYi Zen Hei"/>
        <family val="2"/>
      </rPr>
      <t xml:space="preserve">翌日作業打合せ</t>
    </r>
  </si>
  <si>
    <r>
      <rPr>
        <sz val="10"/>
        <color rgb="FF000000"/>
        <rFont val="WenQuanYi Zen Hei"/>
        <family val="2"/>
      </rPr>
      <t xml:space="preserve">日常定型業務（</t>
    </r>
    <r>
      <rPr>
        <sz val="10"/>
        <color rgb="FF000000"/>
        <rFont val="ＭＳ Ｐ明朝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</t>
    </r>
    <r>
      <rPr>
        <sz val="10"/>
        <color rgb="FF000000"/>
        <rFont val="ＭＳ Ｐ明朝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行に集約）</t>
    </r>
  </si>
  <si>
    <r>
      <rPr>
        <sz val="10"/>
        <color rgb="FF000000"/>
        <rFont val="ＭＳ Ｐ明朝"/>
        <family val="0"/>
        <charset val="1"/>
      </rPr>
      <t xml:space="preserve">AM8:30 </t>
    </r>
    <r>
      <rPr>
        <sz val="10"/>
        <color rgb="FF000000"/>
        <rFont val="WenQuanYi Zen Hei"/>
        <family val="2"/>
      </rPr>
      <t xml:space="preserve">業務内容打合せ、</t>
    </r>
    <r>
      <rPr>
        <sz val="10"/>
        <color rgb="FF000000"/>
        <rFont val="ＭＳ Ｐ明朝"/>
        <family val="0"/>
        <charset val="1"/>
      </rPr>
      <t xml:space="preserve">PM4:00 </t>
    </r>
    <r>
      <rPr>
        <sz val="10"/>
        <color rgb="FF000000"/>
        <rFont val="WenQuanYi Zen Hei"/>
        <family val="2"/>
      </rPr>
      <t xml:space="preserve">業務処理結果報告書作成、</t>
    </r>
    <r>
      <rPr>
        <sz val="10"/>
        <color rgb="FF000000"/>
        <rFont val="ＭＳ Ｐ明朝"/>
        <family val="0"/>
        <charset val="1"/>
      </rPr>
      <t xml:space="preserve">PM5:10 </t>
    </r>
    <r>
      <rPr>
        <sz val="10"/>
        <color rgb="FF000000"/>
        <rFont val="WenQuanYi Zen Hei"/>
        <family val="2"/>
      </rPr>
      <t xml:space="preserve">翌日作業打合せ</t>
    </r>
  </si>
  <si>
    <t xml:space="preserve">業務報告書・社内資料作成</t>
  </si>
  <si>
    <r>
      <rPr>
        <sz val="10"/>
        <color rgb="FF000000"/>
        <rFont val="ＭＳ Ｐ明朝"/>
        <family val="0"/>
        <charset val="1"/>
      </rPr>
      <t xml:space="preserve">AM8:30 </t>
    </r>
    <r>
      <rPr>
        <sz val="10"/>
        <color rgb="FF000000"/>
        <rFont val="WenQuanYi Zen Hei"/>
        <family val="2"/>
      </rPr>
      <t xml:space="preserve">業務内容打合せ、</t>
    </r>
    <r>
      <rPr>
        <sz val="10"/>
        <color rgb="FF000000"/>
        <rFont val="ＭＳ Ｐ明朝"/>
        <family val="0"/>
        <charset val="1"/>
      </rPr>
      <t xml:space="preserve">PM4:30 </t>
    </r>
    <r>
      <rPr>
        <sz val="10"/>
        <color rgb="FF000000"/>
        <rFont val="WenQuanYi Zen Hei"/>
        <family val="2"/>
      </rPr>
      <t xml:space="preserve">業務処理結果報告書作成</t>
    </r>
  </si>
  <si>
    <t xml:space="preserve">現場技術業務 検査資料取り纏め</t>
  </si>
  <si>
    <r>
      <rPr>
        <sz val="10"/>
        <color rgb="FF000000"/>
        <rFont val="WenQuanYi Zen Hei"/>
        <family val="2"/>
      </rPr>
      <t xml:space="preserve">乾技師</t>
    </r>
    <r>
      <rPr>
        <sz val="10"/>
        <color rgb="FF000000"/>
        <rFont val="ＭＳ Ｐ明朝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倉垣副主査</t>
    </r>
  </si>
  <si>
    <r>
      <rPr>
        <sz val="10"/>
        <color rgb="FF000000"/>
        <rFont val="ＭＳ Ｐ明朝"/>
        <family val="0"/>
        <charset val="1"/>
      </rPr>
      <t xml:space="preserve">AM9:00 </t>
    </r>
    <r>
      <rPr>
        <sz val="10"/>
        <color rgb="FF000000"/>
        <rFont val="WenQuanYi Zen Hei"/>
        <family val="2"/>
      </rPr>
      <t xml:space="preserve">業務内容打合せ、</t>
    </r>
    <r>
      <rPr>
        <sz val="10"/>
        <color rgb="FF000000"/>
        <rFont val="ＭＳ Ｐ明朝"/>
        <family val="0"/>
        <charset val="1"/>
      </rPr>
      <t xml:space="preserve">PM4:00 </t>
    </r>
    <r>
      <rPr>
        <sz val="10"/>
        <color rgb="FF000000"/>
        <rFont val="WenQuanYi Zen Hei"/>
        <family val="2"/>
      </rPr>
      <t xml:space="preserve">業務処理結果報告書作成、</t>
    </r>
    <r>
      <rPr>
        <sz val="10"/>
        <color rgb="FF000000"/>
        <rFont val="ＭＳ Ｐ明朝"/>
        <family val="0"/>
        <charset val="1"/>
      </rPr>
      <t xml:space="preserve">PM5:10 </t>
    </r>
    <r>
      <rPr>
        <sz val="10"/>
        <color rgb="FF000000"/>
        <rFont val="WenQuanYi Zen Hei"/>
        <family val="2"/>
      </rPr>
      <t xml:space="preserve">翌日作業打合せ</t>
    </r>
  </si>
  <si>
    <r>
      <rPr>
        <sz val="9"/>
        <rFont val="WenQuanYi Zen Hei"/>
        <family val="2"/>
      </rPr>
      <t xml:space="preserve">※ 出典：業務処理結果報告書（令和</t>
    </r>
    <r>
      <rPr>
        <sz val="9"/>
        <rFont val="ＭＳ Ｐ明朝"/>
        <family val="0"/>
        <charset val="1"/>
      </rPr>
      <t xml:space="preserve">8</t>
    </r>
    <r>
      <rPr>
        <sz val="9"/>
        <rFont val="WenQuanYi Zen Hei"/>
        <family val="2"/>
      </rPr>
      <t xml:space="preserve">年</t>
    </r>
    <r>
      <rPr>
        <sz val="9"/>
        <rFont val="ＭＳ Ｐ明朝"/>
        <family val="0"/>
        <charset val="1"/>
      </rPr>
      <t xml:space="preserve">9</t>
    </r>
    <r>
      <rPr>
        <sz val="9"/>
        <rFont val="WenQuanYi Zen Hei"/>
        <family val="2"/>
      </rPr>
      <t xml:space="preserve">月分 №</t>
    </r>
    <r>
      <rPr>
        <sz val="9"/>
        <rFont val="ＭＳ Ｐ明朝"/>
        <family val="0"/>
        <charset val="1"/>
      </rPr>
      <t xml:space="preserve">104</t>
    </r>
    <r>
      <rPr>
        <sz val="9"/>
        <rFont val="WenQuanYi Zen Hei"/>
        <family val="2"/>
      </rPr>
      <t xml:space="preserve">～№</t>
    </r>
    <r>
      <rPr>
        <sz val="9"/>
        <rFont val="ＭＳ Ｐ明朝"/>
        <family val="0"/>
        <charset val="1"/>
      </rPr>
      <t xml:space="preserve">122</t>
    </r>
    <r>
      <rPr>
        <sz val="9"/>
        <rFont val="WenQuanYi Zen Hei"/>
        <family val="2"/>
      </rPr>
      <t xml:space="preserve">）の記載内容を条文区分ごとに再整理。業務内容打合せ・翌日作業打合せ・報告書作成の日常定型業務は</t>
    </r>
    <r>
      <rPr>
        <sz val="9"/>
        <rFont val="ＭＳ Ｐ明朝"/>
        <family val="0"/>
        <charset val="1"/>
      </rPr>
      <t xml:space="preserve">1</t>
    </r>
    <r>
      <rPr>
        <sz val="9"/>
        <rFont val="WenQuanYi Zen Hei"/>
        <family val="2"/>
      </rPr>
      <t xml:space="preserve">日</t>
    </r>
    <r>
      <rPr>
        <sz val="9"/>
        <rFont val="ＭＳ Ｐ明朝"/>
        <family val="0"/>
        <charset val="1"/>
      </rPr>
      <t xml:space="preserve">1</t>
    </r>
    <r>
      <rPr>
        <sz val="9"/>
        <rFont val="WenQuanYi Zen Hei"/>
        <family val="2"/>
      </rPr>
      <t xml:space="preserve">行に集約。</t>
    </r>
  </si>
  <si>
    <r>
      <rPr>
        <sz val="9"/>
        <rFont val="ＭＳ Ｐ明朝"/>
        <family val="0"/>
        <charset val="1"/>
      </rPr>
      <t xml:space="preserve">※ A</t>
    </r>
    <r>
      <rPr>
        <sz val="9"/>
        <rFont val="WenQuanYi Zen Hei"/>
        <family val="2"/>
      </rPr>
      <t xml:space="preserve">列「区分」（青字）は条文マスタの区分番号。条文番号・業務項目は「条文マスタ」シートから参照（黄色セルに仕様書の条項を記入すると反映）。</t>
    </r>
  </si>
  <si>
    <r>
      <rPr>
        <b val="true"/>
        <sz val="14"/>
        <rFont val="WenQuanYi Zen Hei"/>
        <family val="2"/>
      </rPr>
      <t xml:space="preserve">条文別 実施件数集計表（令和</t>
    </r>
    <r>
      <rPr>
        <b val="true"/>
        <sz val="14"/>
        <rFont val="ＭＳ Ｐ明朝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ＭＳ Ｐ明朝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月分）</t>
    </r>
  </si>
  <si>
    <r>
      <rPr>
        <sz val="9"/>
        <rFont val="WenQuanYi Zen Hei"/>
        <family val="2"/>
      </rPr>
      <t xml:space="preserve">「条文別整理表」の件数を</t>
    </r>
    <r>
      <rPr>
        <sz val="9"/>
        <rFont val="ＭＳ Ｐ明朝"/>
        <family val="0"/>
        <charset val="1"/>
      </rPr>
      <t xml:space="preserve">COUNTIFS</t>
    </r>
    <r>
      <rPr>
        <sz val="9"/>
        <rFont val="WenQuanYi Zen Hei"/>
        <family val="2"/>
      </rPr>
      <t xml:space="preserve">で集計（件数＝整理表の行数）。</t>
    </r>
  </si>
  <si>
    <t xml:space="preserve">業務項目</t>
  </si>
  <si>
    <t xml:space="preserve">合計件数</t>
  </si>
  <si>
    <t xml:space="preserve">合計</t>
  </si>
  <si>
    <r>
      <rPr>
        <sz val="9"/>
        <rFont val="WenQuanYi Zen Hei"/>
        <family val="2"/>
      </rPr>
      <t xml:space="preserve">※ 合計行の「実施日数」は</t>
    </r>
    <r>
      <rPr>
        <sz val="9"/>
        <rFont val="ＭＳ Ｐ明朝"/>
        <family val="0"/>
        <charset val="1"/>
      </rPr>
      <t xml:space="preserve">9</t>
    </r>
    <r>
      <rPr>
        <sz val="9"/>
        <rFont val="WenQuanYi Zen Hei"/>
        <family val="2"/>
      </rPr>
      <t xml:space="preserve">月の業務実施日数（履行日数）。</t>
    </r>
  </si>
  <si>
    <t xml:space="preserve">条文マスタ（仕様書条文との対応表）</t>
  </si>
  <si>
    <t xml:space="preserve">黄色セル（条文番号）は特記仕様書の該当条項を記入してください。記入内容は「条文別整理表」「条文別集計」に自動反映されます。</t>
  </si>
  <si>
    <t xml:space="preserve">主な該当業務</t>
  </si>
  <si>
    <t xml:space="preserve">第　条　第　項</t>
  </si>
  <si>
    <t xml:space="preserve">設計図書の照査・数量確認</t>
  </si>
  <si>
    <t xml:space="preserve">設計図書・数量計算書・変更数量の確認・点検</t>
  </si>
  <si>
    <t xml:space="preserve">施工計画書等の確認</t>
  </si>
  <si>
    <t xml:space="preserve">施工計画書・施工体制台帳・再生資源利用計画（実施）書の点検</t>
  </si>
  <si>
    <t xml:space="preserve">現場立会・現場調査</t>
  </si>
  <si>
    <t xml:space="preserve">工事現場の立会、現場調査、立会記録の整理</t>
  </si>
  <si>
    <t xml:space="preserve">完成検査・下検査の立会補助</t>
  </si>
  <si>
    <t xml:space="preserve">下検査・竣工検査の立会、工事成果品・出来形図書・プロセスチェックシートの確認</t>
  </si>
  <si>
    <r>
      <rPr>
        <sz val="10"/>
        <color rgb="FF000000"/>
        <rFont val="WenQuanYi Zen Hei"/>
        <family val="2"/>
      </rPr>
      <t xml:space="preserve">工事情報共有システム（</t>
    </r>
    <r>
      <rPr>
        <sz val="10"/>
        <color rgb="FF000000"/>
        <rFont val="ＭＳ Ｐ明朝"/>
        <family val="0"/>
        <charset val="1"/>
      </rPr>
      <t xml:space="preserve">ASP</t>
    </r>
    <r>
      <rPr>
        <sz val="10"/>
        <color rgb="FF000000"/>
        <rFont val="WenQuanYi Zen Hei"/>
        <family val="2"/>
      </rPr>
      <t xml:space="preserve">）の確認</t>
    </r>
  </si>
  <si>
    <r>
      <rPr>
        <sz val="10"/>
        <color rgb="FF000000"/>
        <rFont val="ＭＳ Ｐ明朝"/>
        <family val="0"/>
        <charset val="1"/>
      </rPr>
      <t xml:space="preserve">ASP</t>
    </r>
    <r>
      <rPr>
        <sz val="10"/>
        <color rgb="FF000000"/>
        <rFont val="WenQuanYi Zen Hei"/>
        <family val="2"/>
      </rPr>
      <t xml:space="preserve">上の提出書類・段階確認資料等の確認</t>
    </r>
  </si>
  <si>
    <t xml:space="preserve">地元・関係者調整資料の作成</t>
  </si>
  <si>
    <t xml:space="preserve">工事初回打合せ、地元立会用資料・案内ビラ・着手前資料の作成</t>
  </si>
  <si>
    <t xml:space="preserve">定期観測・調査</t>
  </si>
  <si>
    <t xml:space="preserve">河口・海岸の定期観測、過積載点検等の調査</t>
  </si>
  <si>
    <t xml:space="preserve">業務打合せ・報告</t>
  </si>
  <si>
    <t xml:space="preserve">監督員との業務打合せ、業務処理結果報告書・検査資料の作成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</si>
</sst>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\月d\日"/>
    <numFmt numFmtId="166" formatCode="\№0"/>
    <numFmt numFmtId="167" formatCode="m/d"/>
    <numFmt numFmtId="168" formatCode="0;\-0;&quot;&quot;"/>
    <numFmt numFmtId="169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WenQuanYi Zen Hei"/>
      <family val="2"/>
    </font>
    <font>
      <b val="true"/>
      <sz val="16"/>
      <name val="ＭＳ Ｐ明朝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ＭＳ Ｐ明朝"/>
      <family val="0"/>
      <charset val="1"/>
    </font>
    <font>
      <b val="true"/>
      <sz val="10"/>
      <name val="ＭＳ Ｐ明朝"/>
      <family val="0"/>
      <charset val="1"/>
    </font>
    <font>
      <sz val="10"/>
      <color rgb="FF0000FF"/>
      <name val="ＭＳ Ｐ明朝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ＭＳ Ｐ明朝"/>
      <family val="0"/>
      <charset val="1"/>
    </font>
    <font>
      <sz val="9"/>
      <name val="WenQuanYi Zen Hei"/>
      <family val="2"/>
    </font>
    <font>
      <sz val="9"/>
      <name val="ＭＳ Ｐ明朝"/>
      <family val="0"/>
      <charset val="1"/>
    </font>
    <font>
      <b val="true"/>
      <sz val="14"/>
      <name val="WenQuanYi Zen Hei"/>
      <family val="2"/>
    </font>
    <font>
      <b val="true"/>
      <sz val="14"/>
      <name val="ＭＳ Ｐ明朝"/>
      <family val="0"/>
      <charset val="1"/>
    </font>
    <font>
      <b val="true"/>
      <sz val="9"/>
      <name val="WenQuanYi Zen Hei"/>
      <family val="2"/>
    </font>
    <font>
      <b val="true"/>
      <sz val="9"/>
      <name val="ＭＳ Ｐ明朝"/>
      <family val="0"/>
      <charset val="1"/>
    </font>
    <font>
      <sz val="9"/>
      <color rgb="FFC00000"/>
      <name val="WenQuanYi Zen Hei"/>
      <family val="2"/>
    </font>
    <font>
      <sz val="10"/>
      <color rgb="FF0000FF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5"/>
    <col collapsed="false" customWidth="true" hidden="false" outlineLevel="0" max="4" min="4" style="0" width="8"/>
    <col collapsed="false" customWidth="true" hidden="false" outlineLevel="0" max="5" min="5" style="0" width="4"/>
    <col collapsed="false" customWidth="true" hidden="false" outlineLevel="0" max="6" min="6" style="0" width="8"/>
    <col collapsed="false" customWidth="true" hidden="false" outlineLevel="0" max="7" min="7" style="0" width="36"/>
    <col collapsed="false" customWidth="true" hidden="false" outlineLevel="0" max="8" min="8" style="0" width="48"/>
    <col collapsed="false" customWidth="true" hidden="false" outlineLevel="0" max="9" min="9" style="0" width="1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4"/>
  </cols>
  <sheetData>
    <row r="1" customFormat="false" ht="20.8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15" hidden="false" customHeight="false" outlineLevel="0" collapsed="false">
      <c r="A3" s="2" t="s">
        <v>1</v>
      </c>
      <c r="B3" s="2"/>
      <c r="C3" s="3" t="s">
        <v>2</v>
      </c>
      <c r="D3" s="3"/>
      <c r="E3" s="3"/>
      <c r="F3" s="3"/>
      <c r="G3" s="3"/>
      <c r="H3" s="3"/>
      <c r="I3" s="3"/>
      <c r="J3" s="3"/>
      <c r="K3" s="3"/>
      <c r="L3" s="3"/>
    </row>
    <row r="4" customFormat="false" ht="15" hidden="false" customHeight="false" outlineLevel="0" collapsed="false">
      <c r="A4" s="2" t="s">
        <v>3</v>
      </c>
      <c r="B4" s="2"/>
      <c r="C4" s="3" t="s">
        <v>4</v>
      </c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2" t="s">
        <v>5</v>
      </c>
      <c r="B5" s="2"/>
      <c r="C5" s="3" t="s">
        <v>6</v>
      </c>
      <c r="D5" s="3"/>
      <c r="E5" s="3"/>
      <c r="F5" s="3"/>
      <c r="G5" s="3"/>
      <c r="H5" s="3"/>
      <c r="I5" s="3"/>
      <c r="J5" s="3"/>
      <c r="K5" s="3"/>
      <c r="L5" s="3"/>
    </row>
    <row r="7" customFormat="false" ht="15" hidden="false" customHeight="false" outlineLevel="0" collapsed="false">
      <c r="A7" s="4" t="s">
        <v>7</v>
      </c>
      <c r="B7" s="4" t="s">
        <v>8</v>
      </c>
      <c r="C7" s="5" t="s">
        <v>9</v>
      </c>
      <c r="D7" s="4" t="s">
        <v>10</v>
      </c>
      <c r="E7" s="4" t="s">
        <v>11</v>
      </c>
      <c r="F7" s="4" t="s">
        <v>12</v>
      </c>
      <c r="G7" s="4" t="s">
        <v>13</v>
      </c>
      <c r="H7" s="4" t="s">
        <v>14</v>
      </c>
      <c r="I7" s="4" t="s">
        <v>15</v>
      </c>
      <c r="J7" s="4" t="s">
        <v>16</v>
      </c>
      <c r="K7" s="4" t="s">
        <v>17</v>
      </c>
      <c r="L7" s="4" t="s">
        <v>18</v>
      </c>
    </row>
    <row r="8" customFormat="false" ht="15" hidden="false" customHeight="false" outlineLevel="0" collapsed="false">
      <c r="A8" s="6" t="n">
        <v>1</v>
      </c>
      <c r="B8" s="6" t="str">
        <f aca="false">INDEX(条文マスタ!$B$5:$B$12,MATCH($A8,条文マスタ!$A$5:$A$12,0))</f>
        <v>第　条　第　項</v>
      </c>
      <c r="C8" s="7" t="str">
        <f aca="false">INDEX(条文マスタ!$C$5:$C$12,MATCH($A8,条文マスタ!$A$5:$A$12,0))</f>
        <v>設計図書の照査・数量確認</v>
      </c>
      <c r="D8" s="7"/>
      <c r="E8" s="7"/>
      <c r="F8" s="7"/>
      <c r="G8" s="7"/>
      <c r="H8" s="7"/>
      <c r="I8" s="8" t="str">
        <f aca="false">COUNTIF($A$9:$A$22,$A8)&amp;"件"</f>
        <v>14件</v>
      </c>
      <c r="J8" s="9" t="s">
        <v>19</v>
      </c>
      <c r="K8" s="6" t="str">
        <f aca="false">SUMPRODUCT(($A$9:$A$22=$A8)/COUNTIFS($A$9:$A$22,$A$9:$A$22,$D$9:$D$22,$D$9:$D$22))&amp;"日"</f>
        <v>7日</v>
      </c>
      <c r="L8" s="10"/>
    </row>
    <row r="9" customFormat="false" ht="15" hidden="false" customHeight="false" outlineLevel="0" collapsed="false">
      <c r="A9" s="11" t="n">
        <v>1</v>
      </c>
      <c r="B9" s="12" t="str">
        <f aca="false">$B$8</f>
        <v>第　条　第　項</v>
      </c>
      <c r="C9" s="12" t="n">
        <v>1</v>
      </c>
      <c r="D9" s="13" t="n">
        <v>46266</v>
      </c>
      <c r="E9" s="12" t="str">
        <f aca="false">MID("日月火水木金土",WEEKDAY(D9),1)</f>
        <v>火</v>
      </c>
      <c r="F9" s="14" t="s">
        <v>20</v>
      </c>
      <c r="G9" s="15" t="s">
        <v>21</v>
      </c>
      <c r="H9" s="15" t="s">
        <v>22</v>
      </c>
      <c r="I9" s="15"/>
      <c r="J9" s="12" t="s">
        <v>23</v>
      </c>
      <c r="K9" s="16" t="n">
        <v>104</v>
      </c>
      <c r="L9" s="15"/>
    </row>
    <row r="10" customFormat="false" ht="15" hidden="false" customHeight="false" outlineLevel="0" collapsed="false">
      <c r="A10" s="11" t="n">
        <v>1</v>
      </c>
      <c r="B10" s="12" t="str">
        <f aca="false">$B$8</f>
        <v>第　条　第　項</v>
      </c>
      <c r="C10" s="12" t="n">
        <v>2</v>
      </c>
      <c r="D10" s="13" t="n">
        <v>46266</v>
      </c>
      <c r="E10" s="12" t="str">
        <f aca="false">MID("日月火水木金土",WEEKDAY(D10),1)</f>
        <v>火</v>
      </c>
      <c r="F10" s="14" t="s">
        <v>24</v>
      </c>
      <c r="G10" s="15" t="s">
        <v>21</v>
      </c>
      <c r="H10" s="15" t="s">
        <v>25</v>
      </c>
      <c r="I10" s="15"/>
      <c r="J10" s="12" t="s">
        <v>23</v>
      </c>
      <c r="K10" s="16" t="n">
        <v>104</v>
      </c>
      <c r="L10" s="15"/>
    </row>
    <row r="11" customFormat="false" ht="15" hidden="false" customHeight="false" outlineLevel="0" collapsed="false">
      <c r="A11" s="11" t="n">
        <v>1</v>
      </c>
      <c r="B11" s="12" t="str">
        <f aca="false">$B$8</f>
        <v>第　条　第　項</v>
      </c>
      <c r="C11" s="12" t="n">
        <v>3</v>
      </c>
      <c r="D11" s="13" t="n">
        <v>46267</v>
      </c>
      <c r="E11" s="12" t="str">
        <f aca="false">MID("日月火水木金土",WEEKDAY(D11),1)</f>
        <v>水</v>
      </c>
      <c r="F11" s="14" t="s">
        <v>26</v>
      </c>
      <c r="G11" s="15" t="s">
        <v>21</v>
      </c>
      <c r="H11" s="15" t="s">
        <v>27</v>
      </c>
      <c r="I11" s="15"/>
      <c r="J11" s="12" t="s">
        <v>23</v>
      </c>
      <c r="K11" s="16" t="n">
        <v>105</v>
      </c>
      <c r="L11" s="15"/>
    </row>
    <row r="12" customFormat="false" ht="15" hidden="false" customHeight="false" outlineLevel="0" collapsed="false">
      <c r="A12" s="11" t="n">
        <v>1</v>
      </c>
      <c r="B12" s="12" t="str">
        <f aca="false">$B$8</f>
        <v>第　条　第　項</v>
      </c>
      <c r="C12" s="12" t="n">
        <v>4</v>
      </c>
      <c r="D12" s="13" t="n">
        <v>46267</v>
      </c>
      <c r="E12" s="12" t="str">
        <f aca="false">MID("日月火水木金土",WEEKDAY(D12),1)</f>
        <v>水</v>
      </c>
      <c r="F12" s="14" t="s">
        <v>24</v>
      </c>
      <c r="G12" s="15" t="s">
        <v>28</v>
      </c>
      <c r="H12" s="15" t="s">
        <v>29</v>
      </c>
      <c r="I12" s="15"/>
      <c r="J12" s="12" t="s">
        <v>30</v>
      </c>
      <c r="K12" s="16" t="n">
        <v>105</v>
      </c>
      <c r="L12" s="15"/>
    </row>
    <row r="13" customFormat="false" ht="15" hidden="false" customHeight="false" outlineLevel="0" collapsed="false">
      <c r="A13" s="11" t="n">
        <v>1</v>
      </c>
      <c r="B13" s="12" t="str">
        <f aca="false">$B$8</f>
        <v>第　条　第　項</v>
      </c>
      <c r="C13" s="12" t="n">
        <v>5</v>
      </c>
      <c r="D13" s="13" t="n">
        <v>46267</v>
      </c>
      <c r="E13" s="12" t="str">
        <f aca="false">MID("日月火水木金土",WEEKDAY(D13),1)</f>
        <v>水</v>
      </c>
      <c r="F13" s="14" t="s">
        <v>31</v>
      </c>
      <c r="G13" s="15" t="s">
        <v>32</v>
      </c>
      <c r="H13" s="15" t="s">
        <v>33</v>
      </c>
      <c r="I13" s="15"/>
      <c r="J13" s="12" t="s">
        <v>34</v>
      </c>
      <c r="K13" s="16" t="n">
        <v>105</v>
      </c>
      <c r="L13" s="15"/>
    </row>
    <row r="14" customFormat="false" ht="15" hidden="false" customHeight="false" outlineLevel="0" collapsed="false">
      <c r="A14" s="11" t="n">
        <v>1</v>
      </c>
      <c r="B14" s="12" t="str">
        <f aca="false">$B$8</f>
        <v>第　条　第　項</v>
      </c>
      <c r="C14" s="12" t="n">
        <v>6</v>
      </c>
      <c r="D14" s="13" t="n">
        <v>46269</v>
      </c>
      <c r="E14" s="12" t="str">
        <f aca="false">MID("日月火水木金土",WEEKDAY(D14),1)</f>
        <v>金</v>
      </c>
      <c r="F14" s="14" t="s">
        <v>35</v>
      </c>
      <c r="G14" s="15" t="s">
        <v>28</v>
      </c>
      <c r="H14" s="15" t="s">
        <v>36</v>
      </c>
      <c r="I14" s="15"/>
      <c r="J14" s="12" t="s">
        <v>30</v>
      </c>
      <c r="K14" s="16" t="n">
        <v>107</v>
      </c>
      <c r="L14" s="15"/>
    </row>
    <row r="15" customFormat="false" ht="15" hidden="false" customHeight="false" outlineLevel="0" collapsed="false">
      <c r="A15" s="11" t="n">
        <v>1</v>
      </c>
      <c r="B15" s="12" t="str">
        <f aca="false">$B$8</f>
        <v>第　条　第　項</v>
      </c>
      <c r="C15" s="12" t="n">
        <v>7</v>
      </c>
      <c r="D15" s="13" t="n">
        <v>46269</v>
      </c>
      <c r="E15" s="12" t="str">
        <f aca="false">MID("日月火水木金土",WEEKDAY(D15),1)</f>
        <v>金</v>
      </c>
      <c r="F15" s="14" t="s">
        <v>37</v>
      </c>
      <c r="G15" s="15" t="s">
        <v>28</v>
      </c>
      <c r="H15" s="15" t="s">
        <v>36</v>
      </c>
      <c r="I15" s="15"/>
      <c r="J15" s="12" t="s">
        <v>30</v>
      </c>
      <c r="K15" s="16" t="n">
        <v>107</v>
      </c>
      <c r="L15" s="15"/>
    </row>
    <row r="16" customFormat="false" ht="15" hidden="false" customHeight="false" outlineLevel="0" collapsed="false">
      <c r="A16" s="11" t="n">
        <v>1</v>
      </c>
      <c r="B16" s="12" t="str">
        <f aca="false">$B$8</f>
        <v>第　条　第　項</v>
      </c>
      <c r="C16" s="12" t="n">
        <v>8</v>
      </c>
      <c r="D16" s="13" t="n">
        <v>46269</v>
      </c>
      <c r="E16" s="12" t="str">
        <f aca="false">MID("日月火水木金土",WEEKDAY(D16),1)</f>
        <v>金</v>
      </c>
      <c r="F16" s="14" t="s">
        <v>38</v>
      </c>
      <c r="G16" s="15" t="s">
        <v>28</v>
      </c>
      <c r="H16" s="15" t="s">
        <v>39</v>
      </c>
      <c r="I16" s="15"/>
      <c r="J16" s="12" t="s">
        <v>30</v>
      </c>
      <c r="K16" s="16" t="n">
        <v>107</v>
      </c>
      <c r="L16" s="15"/>
    </row>
    <row r="17" customFormat="false" ht="15" hidden="false" customHeight="false" outlineLevel="0" collapsed="false">
      <c r="A17" s="11" t="n">
        <v>1</v>
      </c>
      <c r="B17" s="12" t="str">
        <f aca="false">$B$8</f>
        <v>第　条　第　項</v>
      </c>
      <c r="C17" s="12" t="n">
        <v>9</v>
      </c>
      <c r="D17" s="13" t="n">
        <v>46273</v>
      </c>
      <c r="E17" s="12" t="str">
        <f aca="false">MID("日月火水木金土",WEEKDAY(D17),1)</f>
        <v>火</v>
      </c>
      <c r="F17" s="14" t="s">
        <v>37</v>
      </c>
      <c r="G17" s="15" t="s">
        <v>28</v>
      </c>
      <c r="H17" s="15" t="s">
        <v>40</v>
      </c>
      <c r="I17" s="15"/>
      <c r="J17" s="12" t="s">
        <v>30</v>
      </c>
      <c r="K17" s="16" t="n">
        <v>109</v>
      </c>
      <c r="L17" s="15"/>
    </row>
    <row r="18" customFormat="false" ht="15" hidden="false" customHeight="false" outlineLevel="0" collapsed="false">
      <c r="A18" s="11" t="n">
        <v>1</v>
      </c>
      <c r="B18" s="12" t="str">
        <f aca="false">$B$8</f>
        <v>第　条　第　項</v>
      </c>
      <c r="C18" s="12" t="n">
        <v>10</v>
      </c>
      <c r="D18" s="13" t="n">
        <v>46274</v>
      </c>
      <c r="E18" s="12" t="str">
        <f aca="false">MID("日月火水木金土",WEEKDAY(D18),1)</f>
        <v>水</v>
      </c>
      <c r="F18" s="14" t="s">
        <v>26</v>
      </c>
      <c r="G18" s="15" t="s">
        <v>41</v>
      </c>
      <c r="H18" s="15" t="s">
        <v>42</v>
      </c>
      <c r="I18" s="15"/>
      <c r="J18" s="12" t="s">
        <v>23</v>
      </c>
      <c r="K18" s="16" t="n">
        <v>110</v>
      </c>
      <c r="L18" s="15"/>
    </row>
    <row r="19" customFormat="false" ht="15" hidden="false" customHeight="false" outlineLevel="0" collapsed="false">
      <c r="A19" s="11" t="n">
        <v>1</v>
      </c>
      <c r="B19" s="12" t="str">
        <f aca="false">$B$8</f>
        <v>第　条　第　項</v>
      </c>
      <c r="C19" s="12" t="n">
        <v>11</v>
      </c>
      <c r="D19" s="13" t="n">
        <v>46275</v>
      </c>
      <c r="E19" s="12" t="str">
        <f aca="false">MID("日月火水木金土",WEEKDAY(D19),1)</f>
        <v>木</v>
      </c>
      <c r="F19" s="14" t="s">
        <v>37</v>
      </c>
      <c r="G19" s="15" t="s">
        <v>43</v>
      </c>
      <c r="H19" s="15" t="s">
        <v>44</v>
      </c>
      <c r="I19" s="15"/>
      <c r="J19" s="12" t="s">
        <v>23</v>
      </c>
      <c r="K19" s="16" t="n">
        <v>111</v>
      </c>
      <c r="L19" s="15"/>
    </row>
    <row r="20" customFormat="false" ht="15" hidden="false" customHeight="false" outlineLevel="0" collapsed="false">
      <c r="A20" s="11" t="n">
        <v>1</v>
      </c>
      <c r="B20" s="12" t="str">
        <f aca="false">$B$8</f>
        <v>第　条　第　項</v>
      </c>
      <c r="C20" s="12" t="n">
        <v>12</v>
      </c>
      <c r="D20" s="13" t="n">
        <v>46275</v>
      </c>
      <c r="E20" s="12" t="str">
        <f aca="false">MID("日月火水木金土",WEEKDAY(D20),1)</f>
        <v>木</v>
      </c>
      <c r="F20" s="14" t="s">
        <v>38</v>
      </c>
      <c r="G20" s="15" t="s">
        <v>43</v>
      </c>
      <c r="H20" s="15" t="s">
        <v>45</v>
      </c>
      <c r="I20" s="15"/>
      <c r="J20" s="12" t="s">
        <v>23</v>
      </c>
      <c r="K20" s="16" t="n">
        <v>111</v>
      </c>
      <c r="L20" s="15"/>
    </row>
    <row r="21" customFormat="false" ht="26.85" hidden="false" customHeight="false" outlineLevel="0" collapsed="false">
      <c r="A21" s="11" t="n">
        <v>1</v>
      </c>
      <c r="B21" s="12" t="str">
        <f aca="false">$B$8</f>
        <v>第　条　第　項</v>
      </c>
      <c r="C21" s="12" t="n">
        <v>13</v>
      </c>
      <c r="D21" s="13" t="n">
        <v>46280</v>
      </c>
      <c r="E21" s="12" t="str">
        <f aca="false">MID("日月火水木金土",WEEKDAY(D21),1)</f>
        <v>火</v>
      </c>
      <c r="F21" s="14" t="s">
        <v>35</v>
      </c>
      <c r="G21" s="15" t="s">
        <v>46</v>
      </c>
      <c r="H21" s="15" t="s">
        <v>47</v>
      </c>
      <c r="I21" s="15"/>
      <c r="J21" s="12" t="s">
        <v>23</v>
      </c>
      <c r="K21" s="16" t="n">
        <v>114</v>
      </c>
      <c r="L21" s="15"/>
    </row>
    <row r="22" customFormat="false" ht="15" hidden="false" customHeight="false" outlineLevel="0" collapsed="false">
      <c r="A22" s="11" t="n">
        <v>1</v>
      </c>
      <c r="B22" s="12" t="str">
        <f aca="false">$B$8</f>
        <v>第　条　第　項</v>
      </c>
      <c r="C22" s="12" t="n">
        <v>14</v>
      </c>
      <c r="D22" s="13" t="n">
        <v>46280</v>
      </c>
      <c r="E22" s="12" t="str">
        <f aca="false">MID("日月火水木金土",WEEKDAY(D22),1)</f>
        <v>火</v>
      </c>
      <c r="F22" s="14" t="s">
        <v>48</v>
      </c>
      <c r="G22" s="15" t="s">
        <v>21</v>
      </c>
      <c r="H22" s="15" t="s">
        <v>49</v>
      </c>
      <c r="I22" s="15"/>
      <c r="J22" s="12" t="s">
        <v>23</v>
      </c>
      <c r="K22" s="16" t="n">
        <v>114</v>
      </c>
      <c r="L22" s="15"/>
    </row>
    <row r="23" customFormat="false" ht="15" hidden="false" customHeight="false" outlineLevel="0" collapsed="false">
      <c r="A23" s="6" t="n">
        <v>2</v>
      </c>
      <c r="B23" s="6" t="str">
        <f aca="false">INDEX(条文マスタ!$B$5:$B$12,MATCH($A23,条文マスタ!$A$5:$A$12,0))</f>
        <v>第　条　第　項</v>
      </c>
      <c r="C23" s="7" t="str">
        <f aca="false">INDEX(条文マスタ!$C$5:$C$12,MATCH($A23,条文マスタ!$A$5:$A$12,0))</f>
        <v>施工計画書等の確認</v>
      </c>
      <c r="D23" s="7"/>
      <c r="E23" s="7"/>
      <c r="F23" s="7"/>
      <c r="G23" s="7"/>
      <c r="H23" s="7"/>
      <c r="I23" s="9" t="str">
        <f aca="false">COUNTIF($A$24:$A$33,$A23)&amp;"件"</f>
        <v>10件</v>
      </c>
      <c r="J23" s="9" t="s">
        <v>19</v>
      </c>
      <c r="K23" s="6" t="str">
        <f aca="false">SUMPRODUCT(($A$24:$A$33=$A23)/COUNTIFS($A$24:$A$33,$A$24:$A$33,$D$24:$D$33,$D$24:$D$33))&amp;"日"</f>
        <v>6日</v>
      </c>
      <c r="L23" s="10"/>
    </row>
    <row r="24" customFormat="false" ht="15" hidden="false" customHeight="false" outlineLevel="0" collapsed="false">
      <c r="A24" s="11" t="n">
        <v>2</v>
      </c>
      <c r="B24" s="12" t="str">
        <f aca="false">$B$23</f>
        <v>第　条　第　項</v>
      </c>
      <c r="C24" s="12" t="n">
        <v>1</v>
      </c>
      <c r="D24" s="13" t="n">
        <v>46272</v>
      </c>
      <c r="E24" s="12" t="str">
        <f aca="false">MID("日月火水木金土",WEEKDAY(D24),1)</f>
        <v>月</v>
      </c>
      <c r="F24" s="14" t="s">
        <v>37</v>
      </c>
      <c r="G24" s="15" t="s">
        <v>21</v>
      </c>
      <c r="H24" s="15" t="s">
        <v>50</v>
      </c>
      <c r="I24" s="15"/>
      <c r="J24" s="12" t="s">
        <v>23</v>
      </c>
      <c r="K24" s="16" t="n">
        <v>108</v>
      </c>
      <c r="L24" s="15"/>
    </row>
    <row r="25" customFormat="false" ht="15" hidden="false" customHeight="false" outlineLevel="0" collapsed="false">
      <c r="A25" s="11" t="n">
        <v>2</v>
      </c>
      <c r="B25" s="12" t="str">
        <f aca="false">$B$23</f>
        <v>第　条　第　項</v>
      </c>
      <c r="C25" s="12" t="n">
        <v>2</v>
      </c>
      <c r="D25" s="13" t="n">
        <v>46274</v>
      </c>
      <c r="E25" s="12" t="str">
        <f aca="false">MID("日月火水木金土",WEEKDAY(D25),1)</f>
        <v>水</v>
      </c>
      <c r="F25" s="14" t="s">
        <v>35</v>
      </c>
      <c r="G25" s="15" t="s">
        <v>21</v>
      </c>
      <c r="H25" s="15" t="s">
        <v>51</v>
      </c>
      <c r="I25" s="15"/>
      <c r="J25" s="12" t="s">
        <v>23</v>
      </c>
      <c r="K25" s="16" t="n">
        <v>110</v>
      </c>
      <c r="L25" s="15"/>
    </row>
    <row r="26" customFormat="false" ht="15" hidden="false" customHeight="false" outlineLevel="0" collapsed="false">
      <c r="A26" s="11" t="n">
        <v>2</v>
      </c>
      <c r="B26" s="12" t="str">
        <f aca="false">$B$23</f>
        <v>第　条　第　項</v>
      </c>
      <c r="C26" s="12" t="n">
        <v>3</v>
      </c>
      <c r="D26" s="13" t="n">
        <v>46274</v>
      </c>
      <c r="E26" s="12" t="str">
        <f aca="false">MID("日月火水木金土",WEEKDAY(D26),1)</f>
        <v>水</v>
      </c>
      <c r="F26" s="14" t="s">
        <v>48</v>
      </c>
      <c r="G26" s="15" t="s">
        <v>21</v>
      </c>
      <c r="H26" s="15" t="s">
        <v>52</v>
      </c>
      <c r="I26" s="15" t="s">
        <v>53</v>
      </c>
      <c r="J26" s="12" t="s">
        <v>23</v>
      </c>
      <c r="K26" s="16" t="n">
        <v>110</v>
      </c>
      <c r="L26" s="15"/>
    </row>
    <row r="27" customFormat="false" ht="15" hidden="false" customHeight="false" outlineLevel="0" collapsed="false">
      <c r="A27" s="11" t="n">
        <v>2</v>
      </c>
      <c r="B27" s="12" t="str">
        <f aca="false">$B$23</f>
        <v>第　条　第　項</v>
      </c>
      <c r="C27" s="12" t="n">
        <v>4</v>
      </c>
      <c r="D27" s="13" t="n">
        <v>46279</v>
      </c>
      <c r="E27" s="12" t="str">
        <f aca="false">MID("日月火水木金土",WEEKDAY(D27),1)</f>
        <v>月</v>
      </c>
      <c r="F27" s="14" t="s">
        <v>31</v>
      </c>
      <c r="G27" s="15" t="s">
        <v>21</v>
      </c>
      <c r="H27" s="15" t="s">
        <v>54</v>
      </c>
      <c r="I27" s="15" t="s">
        <v>53</v>
      </c>
      <c r="J27" s="12" t="s">
        <v>23</v>
      </c>
      <c r="K27" s="16" t="n">
        <v>113</v>
      </c>
      <c r="L27" s="15"/>
    </row>
    <row r="28" customFormat="false" ht="15" hidden="false" customHeight="false" outlineLevel="0" collapsed="false">
      <c r="A28" s="11" t="n">
        <v>2</v>
      </c>
      <c r="B28" s="12" t="str">
        <f aca="false">$B$23</f>
        <v>第　条　第　項</v>
      </c>
      <c r="C28" s="12" t="n">
        <v>5</v>
      </c>
      <c r="D28" s="13" t="n">
        <v>46279</v>
      </c>
      <c r="E28" s="12" t="str">
        <f aca="false">MID("日月火水木金土",WEEKDAY(D28),1)</f>
        <v>月</v>
      </c>
      <c r="F28" s="14" t="s">
        <v>38</v>
      </c>
      <c r="G28" s="15" t="s">
        <v>41</v>
      </c>
      <c r="H28" s="17" t="s">
        <v>55</v>
      </c>
      <c r="I28" s="15" t="s">
        <v>56</v>
      </c>
      <c r="J28" s="12" t="s">
        <v>23</v>
      </c>
      <c r="K28" s="16" t="n">
        <v>113</v>
      </c>
      <c r="L28" s="15"/>
    </row>
    <row r="29" customFormat="false" ht="15" hidden="false" customHeight="false" outlineLevel="0" collapsed="false">
      <c r="A29" s="11" t="n">
        <v>2</v>
      </c>
      <c r="B29" s="12" t="str">
        <f aca="false">$B$23</f>
        <v>第　条　第　項</v>
      </c>
      <c r="C29" s="12" t="n">
        <v>6</v>
      </c>
      <c r="D29" s="13" t="n">
        <v>46280</v>
      </c>
      <c r="E29" s="12" t="str">
        <f aca="false">MID("日月火水木金土",WEEKDAY(D29),1)</f>
        <v>火</v>
      </c>
      <c r="F29" s="14" t="s">
        <v>26</v>
      </c>
      <c r="G29" s="15" t="s">
        <v>41</v>
      </c>
      <c r="H29" s="17" t="s">
        <v>57</v>
      </c>
      <c r="I29" s="15"/>
      <c r="J29" s="12" t="s">
        <v>23</v>
      </c>
      <c r="K29" s="16" t="n">
        <v>114</v>
      </c>
      <c r="L29" s="15"/>
    </row>
    <row r="30" customFormat="false" ht="15" hidden="false" customHeight="false" outlineLevel="0" collapsed="false">
      <c r="A30" s="11" t="n">
        <v>2</v>
      </c>
      <c r="B30" s="12" t="str">
        <f aca="false">$B$23</f>
        <v>第　条　第　項</v>
      </c>
      <c r="C30" s="12" t="n">
        <v>7</v>
      </c>
      <c r="D30" s="13" t="n">
        <v>46280</v>
      </c>
      <c r="E30" s="12" t="str">
        <f aca="false">MID("日月火水木金土",WEEKDAY(D30),1)</f>
        <v>火</v>
      </c>
      <c r="F30" s="14" t="s">
        <v>24</v>
      </c>
      <c r="G30" s="15" t="s">
        <v>41</v>
      </c>
      <c r="H30" s="17" t="s">
        <v>58</v>
      </c>
      <c r="I30" s="15"/>
      <c r="J30" s="12" t="s">
        <v>23</v>
      </c>
      <c r="K30" s="16" t="n">
        <v>114</v>
      </c>
      <c r="L30" s="15"/>
    </row>
    <row r="31" customFormat="false" ht="15" hidden="false" customHeight="false" outlineLevel="0" collapsed="false">
      <c r="A31" s="11" t="n">
        <v>2</v>
      </c>
      <c r="B31" s="12" t="str">
        <f aca="false">$B$23</f>
        <v>第　条　第　項</v>
      </c>
      <c r="C31" s="12" t="n">
        <v>8</v>
      </c>
      <c r="D31" s="13" t="n">
        <v>46281</v>
      </c>
      <c r="E31" s="12" t="str">
        <f aca="false">MID("日月火水木金土",WEEKDAY(D31),1)</f>
        <v>水</v>
      </c>
      <c r="F31" s="14" t="s">
        <v>20</v>
      </c>
      <c r="G31" s="15" t="s">
        <v>21</v>
      </c>
      <c r="H31" s="15" t="s">
        <v>59</v>
      </c>
      <c r="I31" s="15"/>
      <c r="J31" s="12" t="s">
        <v>23</v>
      </c>
      <c r="K31" s="16" t="n">
        <v>115</v>
      </c>
      <c r="L31" s="15"/>
    </row>
    <row r="32" customFormat="false" ht="15" hidden="false" customHeight="false" outlineLevel="0" collapsed="false">
      <c r="A32" s="11" t="n">
        <v>2</v>
      </c>
      <c r="B32" s="12" t="str">
        <f aca="false">$B$23</f>
        <v>第　条　第　項</v>
      </c>
      <c r="C32" s="12" t="n">
        <v>9</v>
      </c>
      <c r="D32" s="13" t="n">
        <v>46281</v>
      </c>
      <c r="E32" s="12" t="str">
        <f aca="false">MID("日月火水木金土",WEEKDAY(D32),1)</f>
        <v>水</v>
      </c>
      <c r="F32" s="14" t="s">
        <v>37</v>
      </c>
      <c r="G32" s="15" t="s">
        <v>41</v>
      </c>
      <c r="H32" s="15" t="s">
        <v>60</v>
      </c>
      <c r="I32" s="15"/>
      <c r="J32" s="12" t="s">
        <v>23</v>
      </c>
      <c r="K32" s="16" t="n">
        <v>115</v>
      </c>
      <c r="L32" s="15"/>
    </row>
    <row r="33" customFormat="false" ht="15" hidden="false" customHeight="false" outlineLevel="0" collapsed="false">
      <c r="A33" s="11" t="n">
        <v>2</v>
      </c>
      <c r="B33" s="12" t="str">
        <f aca="false">$B$23</f>
        <v>第　条　第　項</v>
      </c>
      <c r="C33" s="12" t="n">
        <v>10</v>
      </c>
      <c r="D33" s="13" t="n">
        <v>46293</v>
      </c>
      <c r="E33" s="12" t="str">
        <f aca="false">MID("日月火水木金土",WEEKDAY(D33),1)</f>
        <v>月</v>
      </c>
      <c r="F33" s="14" t="s">
        <v>35</v>
      </c>
      <c r="G33" s="15" t="s">
        <v>43</v>
      </c>
      <c r="H33" s="15" t="s">
        <v>61</v>
      </c>
      <c r="I33" s="15"/>
      <c r="J33" s="12" t="s">
        <v>23</v>
      </c>
      <c r="K33" s="16" t="n">
        <v>120</v>
      </c>
      <c r="L33" s="15"/>
    </row>
    <row r="34" customFormat="false" ht="15" hidden="false" customHeight="false" outlineLevel="0" collapsed="false">
      <c r="A34" s="6" t="n">
        <v>3</v>
      </c>
      <c r="B34" s="6" t="str">
        <f aca="false">INDEX(条文マスタ!$B$5:$B$12,MATCH($A34,条文マスタ!$A$5:$A$12,0))</f>
        <v>第　条　第　項</v>
      </c>
      <c r="C34" s="7" t="str">
        <f aca="false">INDEX(条文マスタ!$C$5:$C$12,MATCH($A34,条文マスタ!$A$5:$A$12,0))</f>
        <v>現場立会・現場調査</v>
      </c>
      <c r="D34" s="7"/>
      <c r="E34" s="7"/>
      <c r="F34" s="7"/>
      <c r="G34" s="7"/>
      <c r="H34" s="7"/>
      <c r="I34" s="9" t="str">
        <f aca="false">COUNTIF($A$35:$A$39,$A34)&amp;"件"</f>
        <v>5件</v>
      </c>
      <c r="J34" s="9" t="s">
        <v>19</v>
      </c>
      <c r="K34" s="6" t="str">
        <f aca="false">SUMPRODUCT(($A$35:$A$39=$A34)/COUNTIFS($A$35:$A$39,$A$35:$A$39,$D$35:$D$39,$D$35:$D$39))&amp;"日"</f>
        <v>4日</v>
      </c>
      <c r="L34" s="10"/>
    </row>
    <row r="35" customFormat="false" ht="15" hidden="false" customHeight="false" outlineLevel="0" collapsed="false">
      <c r="A35" s="11" t="n">
        <v>3</v>
      </c>
      <c r="B35" s="12" t="str">
        <f aca="false">$B$34</f>
        <v>第　条　第　項</v>
      </c>
      <c r="C35" s="12" t="n">
        <v>1</v>
      </c>
      <c r="D35" s="13" t="n">
        <v>46268</v>
      </c>
      <c r="E35" s="12" t="str">
        <f aca="false">MID("日月火水木金土",WEEKDAY(D35),1)</f>
        <v>木</v>
      </c>
      <c r="F35" s="14" t="s">
        <v>24</v>
      </c>
      <c r="G35" s="15" t="s">
        <v>21</v>
      </c>
      <c r="H35" s="15" t="s">
        <v>62</v>
      </c>
      <c r="I35" s="15" t="s">
        <v>53</v>
      </c>
      <c r="J35" s="12" t="s">
        <v>23</v>
      </c>
      <c r="K35" s="16" t="n">
        <v>106</v>
      </c>
      <c r="L35" s="15"/>
    </row>
    <row r="36" customFormat="false" ht="15" hidden="false" customHeight="false" outlineLevel="0" collapsed="false">
      <c r="A36" s="11" t="n">
        <v>3</v>
      </c>
      <c r="B36" s="12" t="str">
        <f aca="false">$B$34</f>
        <v>第　条　第　項</v>
      </c>
      <c r="C36" s="12" t="n">
        <v>2</v>
      </c>
      <c r="D36" s="13" t="n">
        <v>46268</v>
      </c>
      <c r="E36" s="12" t="str">
        <f aca="false">MID("日月火水木金土",WEEKDAY(D36),1)</f>
        <v>木</v>
      </c>
      <c r="F36" s="14" t="s">
        <v>63</v>
      </c>
      <c r="G36" s="15" t="s">
        <v>21</v>
      </c>
      <c r="H36" s="15" t="s">
        <v>64</v>
      </c>
      <c r="I36" s="15"/>
      <c r="J36" s="12" t="s">
        <v>23</v>
      </c>
      <c r="K36" s="16" t="n">
        <v>106</v>
      </c>
      <c r="L36" s="15"/>
    </row>
    <row r="37" customFormat="false" ht="15" hidden="false" customHeight="false" outlineLevel="0" collapsed="false">
      <c r="A37" s="11" t="n">
        <v>3</v>
      </c>
      <c r="B37" s="12" t="str">
        <f aca="false">$B$34</f>
        <v>第　条　第　項</v>
      </c>
      <c r="C37" s="12" t="n">
        <v>3</v>
      </c>
      <c r="D37" s="13" t="n">
        <v>46272</v>
      </c>
      <c r="E37" s="12" t="str">
        <f aca="false">MID("日月火水木金土",WEEKDAY(D37),1)</f>
        <v>月</v>
      </c>
      <c r="F37" s="14" t="s">
        <v>35</v>
      </c>
      <c r="G37" s="15" t="s">
        <v>21</v>
      </c>
      <c r="H37" s="15" t="s">
        <v>65</v>
      </c>
      <c r="I37" s="15"/>
      <c r="J37" s="12" t="s">
        <v>23</v>
      </c>
      <c r="K37" s="16" t="n">
        <v>108</v>
      </c>
      <c r="L37" s="15"/>
    </row>
    <row r="38" customFormat="false" ht="15" hidden="false" customHeight="false" outlineLevel="0" collapsed="false">
      <c r="A38" s="11" t="n">
        <v>3</v>
      </c>
      <c r="B38" s="12" t="str">
        <f aca="false">$B$34</f>
        <v>第　条　第　項</v>
      </c>
      <c r="C38" s="12" t="n">
        <v>4</v>
      </c>
      <c r="D38" s="13" t="n">
        <v>46273</v>
      </c>
      <c r="E38" s="12" t="str">
        <f aca="false">MID("日月火水木金土",WEEKDAY(D38),1)</f>
        <v>火</v>
      </c>
      <c r="F38" s="14" t="s">
        <v>26</v>
      </c>
      <c r="G38" s="15" t="s">
        <v>21</v>
      </c>
      <c r="H38" s="15" t="s">
        <v>66</v>
      </c>
      <c r="I38" s="15"/>
      <c r="J38" s="12" t="s">
        <v>23</v>
      </c>
      <c r="K38" s="16" t="n">
        <v>109</v>
      </c>
      <c r="L38" s="15"/>
    </row>
    <row r="39" customFormat="false" ht="15" hidden="false" customHeight="false" outlineLevel="0" collapsed="false">
      <c r="A39" s="11" t="n">
        <v>3</v>
      </c>
      <c r="B39" s="12" t="str">
        <f aca="false">$B$34</f>
        <v>第　条　第　項</v>
      </c>
      <c r="C39" s="12" t="n">
        <v>5</v>
      </c>
      <c r="D39" s="13" t="n">
        <v>46283</v>
      </c>
      <c r="E39" s="12" t="str">
        <f aca="false">MID("日月火水木金土",WEEKDAY(D39),1)</f>
        <v>金</v>
      </c>
      <c r="F39" s="14" t="s">
        <v>24</v>
      </c>
      <c r="G39" s="15" t="s">
        <v>43</v>
      </c>
      <c r="H39" s="15" t="s">
        <v>67</v>
      </c>
      <c r="I39" s="15" t="s">
        <v>68</v>
      </c>
      <c r="J39" s="12" t="s">
        <v>23</v>
      </c>
      <c r="K39" s="16" t="n">
        <v>117</v>
      </c>
      <c r="L39" s="15"/>
    </row>
    <row r="40" customFormat="false" ht="15" hidden="false" customHeight="false" outlineLevel="0" collapsed="false">
      <c r="A40" s="6" t="n">
        <v>4</v>
      </c>
      <c r="B40" s="6" t="str">
        <f aca="false">INDEX(条文マスタ!$B$5:$B$12,MATCH($A40,条文マスタ!$A$5:$A$12,0))</f>
        <v>第　条　第　項</v>
      </c>
      <c r="C40" s="7" t="str">
        <f aca="false">INDEX(条文マスタ!$C$5:$C$12,MATCH($A40,条文マスタ!$A$5:$A$12,0))</f>
        <v>完成検査・下検査の立会補助</v>
      </c>
      <c r="D40" s="7"/>
      <c r="E40" s="7"/>
      <c r="F40" s="7"/>
      <c r="G40" s="7"/>
      <c r="H40" s="7"/>
      <c r="I40" s="9" t="str">
        <f aca="false">COUNTIF($A$41:$A$62,$A40)&amp;"件"</f>
        <v>22件</v>
      </c>
      <c r="J40" s="9" t="s">
        <v>19</v>
      </c>
      <c r="K40" s="6" t="str">
        <f aca="false">SUMPRODUCT(($A$41:$A$62=$A40)/COUNTIFS($A$41:$A$62,$A$41:$A$62,$D$41:$D$62,$D$41:$D$62))&amp;"日"</f>
        <v>13日</v>
      </c>
      <c r="L40" s="10"/>
    </row>
    <row r="41" customFormat="false" ht="15" hidden="false" customHeight="false" outlineLevel="0" collapsed="false">
      <c r="A41" s="11" t="n">
        <v>4</v>
      </c>
      <c r="B41" s="12" t="str">
        <f aca="false">$B$40</f>
        <v>第　条　第　項</v>
      </c>
      <c r="C41" s="12" t="n">
        <v>1</v>
      </c>
      <c r="D41" s="13" t="n">
        <v>46266</v>
      </c>
      <c r="E41" s="12" t="str">
        <f aca="false">MID("日月火水木金土",WEEKDAY(D41),1)</f>
        <v>火</v>
      </c>
      <c r="F41" s="14" t="s">
        <v>26</v>
      </c>
      <c r="G41" s="15" t="s">
        <v>41</v>
      </c>
      <c r="H41" s="15" t="s">
        <v>69</v>
      </c>
      <c r="I41" s="15"/>
      <c r="J41" s="12" t="s">
        <v>23</v>
      </c>
      <c r="K41" s="16" t="n">
        <v>104</v>
      </c>
      <c r="L41" s="15"/>
    </row>
    <row r="42" customFormat="false" ht="15" hidden="false" customHeight="false" outlineLevel="0" collapsed="false">
      <c r="A42" s="11" t="n">
        <v>4</v>
      </c>
      <c r="B42" s="12" t="str">
        <f aca="false">$B$40</f>
        <v>第　条　第　項</v>
      </c>
      <c r="C42" s="12" t="n">
        <v>2</v>
      </c>
      <c r="D42" s="13" t="n">
        <v>46269</v>
      </c>
      <c r="E42" s="12" t="str">
        <f aca="false">MID("日月火水木金土",WEEKDAY(D42),1)</f>
        <v>金</v>
      </c>
      <c r="F42" s="14" t="s">
        <v>63</v>
      </c>
      <c r="G42" s="15" t="s">
        <v>41</v>
      </c>
      <c r="H42" s="15" t="s">
        <v>70</v>
      </c>
      <c r="I42" s="15"/>
      <c r="J42" s="12" t="s">
        <v>23</v>
      </c>
      <c r="K42" s="16" t="n">
        <v>107</v>
      </c>
      <c r="L42" s="15"/>
    </row>
    <row r="43" customFormat="false" ht="15" hidden="false" customHeight="false" outlineLevel="0" collapsed="false">
      <c r="A43" s="11" t="n">
        <v>4</v>
      </c>
      <c r="B43" s="12" t="str">
        <f aca="false">$B$40</f>
        <v>第　条　第　項</v>
      </c>
      <c r="C43" s="12" t="n">
        <v>3</v>
      </c>
      <c r="D43" s="13" t="n">
        <v>46272</v>
      </c>
      <c r="E43" s="12" t="str">
        <f aca="false">MID("日月火水木金土",WEEKDAY(D43),1)</f>
        <v>月</v>
      </c>
      <c r="F43" s="14" t="s">
        <v>26</v>
      </c>
      <c r="G43" s="15" t="s">
        <v>41</v>
      </c>
      <c r="H43" s="15" t="s">
        <v>71</v>
      </c>
      <c r="I43" s="15"/>
      <c r="J43" s="12" t="s">
        <v>23</v>
      </c>
      <c r="K43" s="16" t="n">
        <v>108</v>
      </c>
      <c r="L43" s="15"/>
    </row>
    <row r="44" customFormat="false" ht="15" hidden="false" customHeight="false" outlineLevel="0" collapsed="false">
      <c r="A44" s="11" t="n">
        <v>4</v>
      </c>
      <c r="B44" s="12" t="str">
        <f aca="false">$B$40</f>
        <v>第　条　第　項</v>
      </c>
      <c r="C44" s="12" t="n">
        <v>4</v>
      </c>
      <c r="D44" s="13" t="n">
        <v>46272</v>
      </c>
      <c r="E44" s="12" t="str">
        <f aca="false">MID("日月火水木金土",WEEKDAY(D44),1)</f>
        <v>月</v>
      </c>
      <c r="F44" s="14" t="s">
        <v>63</v>
      </c>
      <c r="G44" s="15" t="s">
        <v>41</v>
      </c>
      <c r="H44" s="15" t="s">
        <v>72</v>
      </c>
      <c r="I44" s="15"/>
      <c r="J44" s="12" t="s">
        <v>23</v>
      </c>
      <c r="K44" s="16" t="n">
        <v>108</v>
      </c>
      <c r="L44" s="15"/>
    </row>
    <row r="45" customFormat="false" ht="15" hidden="false" customHeight="false" outlineLevel="0" collapsed="false">
      <c r="A45" s="11" t="n">
        <v>4</v>
      </c>
      <c r="B45" s="12" t="str">
        <f aca="false">$B$40</f>
        <v>第　条　第　項</v>
      </c>
      <c r="C45" s="12" t="n">
        <v>5</v>
      </c>
      <c r="D45" s="13" t="n">
        <v>46273</v>
      </c>
      <c r="E45" s="12" t="str">
        <f aca="false">MID("日月火水木金土",WEEKDAY(D45),1)</f>
        <v>火</v>
      </c>
      <c r="F45" s="14" t="s">
        <v>48</v>
      </c>
      <c r="G45" s="15" t="s">
        <v>41</v>
      </c>
      <c r="H45" s="15" t="s">
        <v>71</v>
      </c>
      <c r="I45" s="15"/>
      <c r="J45" s="12" t="s">
        <v>23</v>
      </c>
      <c r="K45" s="16" t="n">
        <v>109</v>
      </c>
      <c r="L45" s="15"/>
    </row>
    <row r="46" customFormat="false" ht="15" hidden="false" customHeight="false" outlineLevel="0" collapsed="false">
      <c r="A46" s="11" t="n">
        <v>4</v>
      </c>
      <c r="B46" s="12" t="str">
        <f aca="false">$B$40</f>
        <v>第　条　第　項</v>
      </c>
      <c r="C46" s="12" t="n">
        <v>6</v>
      </c>
      <c r="D46" s="13" t="n">
        <v>46273</v>
      </c>
      <c r="E46" s="12" t="str">
        <f aca="false">MID("日月火水木金土",WEEKDAY(D46),1)</f>
        <v>火</v>
      </c>
      <c r="F46" s="14" t="s">
        <v>31</v>
      </c>
      <c r="G46" s="15" t="s">
        <v>41</v>
      </c>
      <c r="H46" s="15" t="s">
        <v>73</v>
      </c>
      <c r="I46" s="15"/>
      <c r="J46" s="12" t="s">
        <v>23</v>
      </c>
      <c r="K46" s="16" t="n">
        <v>109</v>
      </c>
      <c r="L46" s="15"/>
    </row>
    <row r="47" customFormat="false" ht="15" hidden="false" customHeight="false" outlineLevel="0" collapsed="false">
      <c r="A47" s="11" t="n">
        <v>4</v>
      </c>
      <c r="B47" s="12" t="str">
        <f aca="false">$B$40</f>
        <v>第　条　第　項</v>
      </c>
      <c r="C47" s="12" t="n">
        <v>7</v>
      </c>
      <c r="D47" s="13" t="n">
        <v>46274</v>
      </c>
      <c r="E47" s="12" t="str">
        <f aca="false">MID("日月火水木金土",WEEKDAY(D47),1)</f>
        <v>水</v>
      </c>
      <c r="F47" s="14" t="s">
        <v>24</v>
      </c>
      <c r="G47" s="15" t="s">
        <v>41</v>
      </c>
      <c r="H47" s="15" t="s">
        <v>74</v>
      </c>
      <c r="I47" s="15" t="s">
        <v>56</v>
      </c>
      <c r="J47" s="12" t="s">
        <v>23</v>
      </c>
      <c r="K47" s="16" t="n">
        <v>110</v>
      </c>
      <c r="L47" s="15"/>
    </row>
    <row r="48" customFormat="false" ht="15" hidden="false" customHeight="false" outlineLevel="0" collapsed="false">
      <c r="A48" s="11" t="n">
        <v>4</v>
      </c>
      <c r="B48" s="12" t="str">
        <f aca="false">$B$40</f>
        <v>第　条　第　項</v>
      </c>
      <c r="C48" s="12" t="n">
        <v>8</v>
      </c>
      <c r="D48" s="13" t="n">
        <v>46274</v>
      </c>
      <c r="E48" s="12" t="str">
        <f aca="false">MID("日月火水木金土",WEEKDAY(D48),1)</f>
        <v>水</v>
      </c>
      <c r="F48" s="14" t="s">
        <v>63</v>
      </c>
      <c r="G48" s="15" t="s">
        <v>41</v>
      </c>
      <c r="H48" s="15" t="s">
        <v>75</v>
      </c>
      <c r="I48" s="15"/>
      <c r="J48" s="12" t="s">
        <v>23</v>
      </c>
      <c r="K48" s="16" t="n">
        <v>110</v>
      </c>
      <c r="L48" s="15"/>
    </row>
    <row r="49" customFormat="false" ht="15" hidden="false" customHeight="false" outlineLevel="0" collapsed="false">
      <c r="A49" s="11" t="n">
        <v>4</v>
      </c>
      <c r="B49" s="12" t="str">
        <f aca="false">$B$40</f>
        <v>第　条　第　項</v>
      </c>
      <c r="C49" s="12" t="n">
        <v>9</v>
      </c>
      <c r="D49" s="13" t="n">
        <v>46275</v>
      </c>
      <c r="E49" s="12" t="str">
        <f aca="false">MID("日月火水木金土",WEEKDAY(D49),1)</f>
        <v>木</v>
      </c>
      <c r="F49" s="14" t="s">
        <v>20</v>
      </c>
      <c r="G49" s="15" t="s">
        <v>41</v>
      </c>
      <c r="H49" s="15" t="s">
        <v>76</v>
      </c>
      <c r="I49" s="15" t="s">
        <v>56</v>
      </c>
      <c r="J49" s="12" t="s">
        <v>23</v>
      </c>
      <c r="K49" s="16" t="n">
        <v>111</v>
      </c>
      <c r="L49" s="15"/>
    </row>
    <row r="50" customFormat="false" ht="15" hidden="false" customHeight="false" outlineLevel="0" collapsed="false">
      <c r="A50" s="11" t="n">
        <v>4</v>
      </c>
      <c r="B50" s="12" t="str">
        <f aca="false">$B$40</f>
        <v>第　条　第　項</v>
      </c>
      <c r="C50" s="12" t="n">
        <v>10</v>
      </c>
      <c r="D50" s="13" t="n">
        <v>46275</v>
      </c>
      <c r="E50" s="12" t="str">
        <f aca="false">MID("日月火水木金土",WEEKDAY(D50),1)</f>
        <v>木</v>
      </c>
      <c r="F50" s="14" t="s">
        <v>77</v>
      </c>
      <c r="G50" s="15" t="s">
        <v>41</v>
      </c>
      <c r="H50" s="15" t="s">
        <v>78</v>
      </c>
      <c r="I50" s="15"/>
      <c r="J50" s="12" t="s">
        <v>23</v>
      </c>
      <c r="K50" s="16" t="n">
        <v>111</v>
      </c>
      <c r="L50" s="15"/>
    </row>
    <row r="51" customFormat="false" ht="15" hidden="false" customHeight="false" outlineLevel="0" collapsed="false">
      <c r="A51" s="11" t="n">
        <v>4</v>
      </c>
      <c r="B51" s="12" t="str">
        <f aca="false">$B$40</f>
        <v>第　条　第　項</v>
      </c>
      <c r="C51" s="12" t="n">
        <v>11</v>
      </c>
      <c r="D51" s="13" t="n">
        <v>46275</v>
      </c>
      <c r="E51" s="12" t="str">
        <f aca="false">MID("日月火水木金土",WEEKDAY(D51),1)</f>
        <v>木</v>
      </c>
      <c r="F51" s="14" t="s">
        <v>79</v>
      </c>
      <c r="G51" s="15" t="s">
        <v>41</v>
      </c>
      <c r="H51" s="15" t="s">
        <v>80</v>
      </c>
      <c r="I51" s="15"/>
      <c r="J51" s="12" t="s">
        <v>23</v>
      </c>
      <c r="K51" s="16" t="n">
        <v>111</v>
      </c>
      <c r="L51" s="15"/>
    </row>
    <row r="52" customFormat="false" ht="15" hidden="false" customHeight="false" outlineLevel="0" collapsed="false">
      <c r="A52" s="11" t="n">
        <v>4</v>
      </c>
      <c r="B52" s="12" t="str">
        <f aca="false">$B$40</f>
        <v>第　条　第　項</v>
      </c>
      <c r="C52" s="12" t="n">
        <v>12</v>
      </c>
      <c r="D52" s="13" t="n">
        <v>46276</v>
      </c>
      <c r="E52" s="12" t="str">
        <f aca="false">MID("日月火水木金土",WEEKDAY(D52),1)</f>
        <v>金</v>
      </c>
      <c r="F52" s="14" t="s">
        <v>35</v>
      </c>
      <c r="G52" s="15" t="s">
        <v>41</v>
      </c>
      <c r="H52" s="15" t="s">
        <v>80</v>
      </c>
      <c r="I52" s="15"/>
      <c r="J52" s="12" t="s">
        <v>23</v>
      </c>
      <c r="K52" s="16" t="n">
        <v>112</v>
      </c>
      <c r="L52" s="15"/>
    </row>
    <row r="53" customFormat="false" ht="15" hidden="false" customHeight="false" outlineLevel="0" collapsed="false">
      <c r="A53" s="11" t="n">
        <v>4</v>
      </c>
      <c r="B53" s="12" t="str">
        <f aca="false">$B$40</f>
        <v>第　条　第　項</v>
      </c>
      <c r="C53" s="12" t="n">
        <v>13</v>
      </c>
      <c r="D53" s="13" t="n">
        <v>46276</v>
      </c>
      <c r="E53" s="12" t="str">
        <f aca="false">MID("日月火水木金土",WEEKDAY(D53),1)</f>
        <v>金</v>
      </c>
      <c r="F53" s="14" t="s">
        <v>48</v>
      </c>
      <c r="G53" s="15" t="s">
        <v>41</v>
      </c>
      <c r="H53" s="15" t="s">
        <v>81</v>
      </c>
      <c r="I53" s="15" t="s">
        <v>56</v>
      </c>
      <c r="J53" s="12" t="s">
        <v>23</v>
      </c>
      <c r="K53" s="16" t="n">
        <v>112</v>
      </c>
      <c r="L53" s="15"/>
    </row>
    <row r="54" customFormat="false" ht="15" hidden="false" customHeight="false" outlineLevel="0" collapsed="false">
      <c r="A54" s="11" t="n">
        <v>4</v>
      </c>
      <c r="B54" s="12" t="str">
        <f aca="false">$B$40</f>
        <v>第　条　第　項</v>
      </c>
      <c r="C54" s="12" t="n">
        <v>14</v>
      </c>
      <c r="D54" s="13" t="n">
        <v>46279</v>
      </c>
      <c r="E54" s="12" t="str">
        <f aca="false">MID("日月火水木金土",WEEKDAY(D54),1)</f>
        <v>月</v>
      </c>
      <c r="F54" s="14" t="s">
        <v>37</v>
      </c>
      <c r="G54" s="15" t="s">
        <v>41</v>
      </c>
      <c r="H54" s="15" t="s">
        <v>82</v>
      </c>
      <c r="I54" s="15" t="s">
        <v>56</v>
      </c>
      <c r="J54" s="12" t="s">
        <v>23</v>
      </c>
      <c r="K54" s="16" t="n">
        <v>113</v>
      </c>
      <c r="L54" s="15"/>
    </row>
    <row r="55" customFormat="false" ht="15" hidden="false" customHeight="false" outlineLevel="0" collapsed="false">
      <c r="A55" s="11" t="n">
        <v>4</v>
      </c>
      <c r="B55" s="12" t="str">
        <f aca="false">$B$40</f>
        <v>第　条　第　項</v>
      </c>
      <c r="C55" s="12" t="n">
        <v>15</v>
      </c>
      <c r="D55" s="13" t="n">
        <v>46281</v>
      </c>
      <c r="E55" s="12" t="str">
        <f aca="false">MID("日月火水木金土",WEEKDAY(D55),1)</f>
        <v>水</v>
      </c>
      <c r="F55" s="14" t="s">
        <v>77</v>
      </c>
      <c r="G55" s="15" t="s">
        <v>41</v>
      </c>
      <c r="H55" s="15" t="s">
        <v>82</v>
      </c>
      <c r="I55" s="15"/>
      <c r="J55" s="12" t="s">
        <v>23</v>
      </c>
      <c r="K55" s="16" t="n">
        <v>115</v>
      </c>
      <c r="L55" s="15"/>
    </row>
    <row r="56" customFormat="false" ht="15" hidden="false" customHeight="false" outlineLevel="0" collapsed="false">
      <c r="A56" s="11" t="n">
        <v>4</v>
      </c>
      <c r="B56" s="12" t="str">
        <f aca="false">$B$40</f>
        <v>第　条　第　項</v>
      </c>
      <c r="C56" s="12" t="n">
        <v>16</v>
      </c>
      <c r="D56" s="13" t="n">
        <v>46282</v>
      </c>
      <c r="E56" s="12" t="str">
        <f aca="false">MID("日月火水木金土",WEEKDAY(D56),1)</f>
        <v>木</v>
      </c>
      <c r="F56" s="14" t="s">
        <v>35</v>
      </c>
      <c r="G56" s="15" t="s">
        <v>41</v>
      </c>
      <c r="H56" s="15" t="s">
        <v>83</v>
      </c>
      <c r="I56" s="15" t="s">
        <v>84</v>
      </c>
      <c r="J56" s="12" t="s">
        <v>23</v>
      </c>
      <c r="K56" s="16" t="n">
        <v>116</v>
      </c>
      <c r="L56" s="15"/>
    </row>
    <row r="57" customFormat="false" ht="15" hidden="false" customHeight="false" outlineLevel="0" collapsed="false">
      <c r="A57" s="11" t="n">
        <v>4</v>
      </c>
      <c r="B57" s="12" t="str">
        <f aca="false">$B$40</f>
        <v>第　条　第　項</v>
      </c>
      <c r="C57" s="12" t="n">
        <v>17</v>
      </c>
      <c r="D57" s="13" t="n">
        <v>46282</v>
      </c>
      <c r="E57" s="12" t="str">
        <f aca="false">MID("日月火水木金土",WEEKDAY(D57),1)</f>
        <v>木</v>
      </c>
      <c r="F57" s="14" t="s">
        <v>31</v>
      </c>
      <c r="G57" s="15" t="s">
        <v>41</v>
      </c>
      <c r="H57" s="15" t="s">
        <v>85</v>
      </c>
      <c r="I57" s="15" t="s">
        <v>84</v>
      </c>
      <c r="J57" s="12" t="s">
        <v>23</v>
      </c>
      <c r="K57" s="16" t="n">
        <v>116</v>
      </c>
      <c r="L57" s="15"/>
    </row>
    <row r="58" customFormat="false" ht="15" hidden="false" customHeight="false" outlineLevel="0" collapsed="false">
      <c r="A58" s="11" t="n">
        <v>4</v>
      </c>
      <c r="B58" s="12" t="str">
        <f aca="false">$B$40</f>
        <v>第　条　第　項</v>
      </c>
      <c r="C58" s="12" t="n">
        <v>18</v>
      </c>
      <c r="D58" s="13" t="n">
        <v>46283</v>
      </c>
      <c r="E58" s="12" t="str">
        <f aca="false">MID("日月火水木金土",WEEKDAY(D58),1)</f>
        <v>金</v>
      </c>
      <c r="F58" s="14" t="s">
        <v>20</v>
      </c>
      <c r="G58" s="15" t="s">
        <v>28</v>
      </c>
      <c r="H58" s="15" t="s">
        <v>86</v>
      </c>
      <c r="I58" s="15"/>
      <c r="J58" s="12" t="s">
        <v>30</v>
      </c>
      <c r="K58" s="16" t="n">
        <v>117</v>
      </c>
      <c r="L58" s="15"/>
    </row>
    <row r="59" customFormat="false" ht="15" hidden="false" customHeight="false" outlineLevel="0" collapsed="false">
      <c r="A59" s="11" t="n">
        <v>4</v>
      </c>
      <c r="B59" s="12" t="str">
        <f aca="false">$B$40</f>
        <v>第　条　第　項</v>
      </c>
      <c r="C59" s="12" t="n">
        <v>19</v>
      </c>
      <c r="D59" s="13" t="n">
        <v>46283</v>
      </c>
      <c r="E59" s="12" t="str">
        <f aca="false">MID("日月火水木金土",WEEKDAY(D59),1)</f>
        <v>金</v>
      </c>
      <c r="F59" s="14" t="s">
        <v>38</v>
      </c>
      <c r="G59" s="15" t="s">
        <v>28</v>
      </c>
      <c r="H59" s="15" t="s">
        <v>87</v>
      </c>
      <c r="I59" s="15"/>
      <c r="J59" s="12" t="s">
        <v>30</v>
      </c>
      <c r="K59" s="16" t="n">
        <v>117</v>
      </c>
      <c r="L59" s="15"/>
    </row>
    <row r="60" customFormat="false" ht="15" hidden="false" customHeight="false" outlineLevel="0" collapsed="false">
      <c r="A60" s="11" t="n">
        <v>4</v>
      </c>
      <c r="B60" s="12" t="str">
        <f aca="false">$B$40</f>
        <v>第　条　第　項</v>
      </c>
      <c r="C60" s="12" t="n">
        <v>20</v>
      </c>
      <c r="D60" s="13" t="n">
        <v>46293</v>
      </c>
      <c r="E60" s="12" t="str">
        <f aca="false">MID("日月火水木金土",WEEKDAY(D60),1)</f>
        <v>月</v>
      </c>
      <c r="F60" s="14" t="s">
        <v>37</v>
      </c>
      <c r="G60" s="15" t="s">
        <v>28</v>
      </c>
      <c r="H60" s="15" t="s">
        <v>88</v>
      </c>
      <c r="I60" s="15"/>
      <c r="J60" s="12" t="s">
        <v>30</v>
      </c>
      <c r="K60" s="16" t="n">
        <v>120</v>
      </c>
      <c r="L60" s="15"/>
    </row>
    <row r="61" customFormat="false" ht="15" hidden="false" customHeight="false" outlineLevel="0" collapsed="false">
      <c r="A61" s="11" t="n">
        <v>4</v>
      </c>
      <c r="B61" s="12" t="str">
        <f aca="false">$B$40</f>
        <v>第　条　第　項</v>
      </c>
      <c r="C61" s="12" t="n">
        <v>21</v>
      </c>
      <c r="D61" s="13" t="n">
        <v>46294</v>
      </c>
      <c r="E61" s="12" t="str">
        <f aca="false">MID("日月火水木金土",WEEKDAY(D61),1)</f>
        <v>火</v>
      </c>
      <c r="F61" s="14" t="s">
        <v>48</v>
      </c>
      <c r="G61" s="15" t="s">
        <v>28</v>
      </c>
      <c r="H61" s="15" t="s">
        <v>83</v>
      </c>
      <c r="I61" s="15" t="s">
        <v>89</v>
      </c>
      <c r="J61" s="12" t="s">
        <v>30</v>
      </c>
      <c r="K61" s="16" t="n">
        <v>121</v>
      </c>
      <c r="L61" s="15"/>
    </row>
    <row r="62" customFormat="false" ht="15" hidden="false" customHeight="false" outlineLevel="0" collapsed="false">
      <c r="A62" s="11" t="n">
        <v>4</v>
      </c>
      <c r="B62" s="12" t="str">
        <f aca="false">$B$40</f>
        <v>第　条　第　項</v>
      </c>
      <c r="C62" s="12" t="n">
        <v>22</v>
      </c>
      <c r="D62" s="13" t="n">
        <v>46294</v>
      </c>
      <c r="E62" s="12" t="str">
        <f aca="false">MID("日月火水木金土",WEEKDAY(D62),1)</f>
        <v>火</v>
      </c>
      <c r="F62" s="14" t="s">
        <v>31</v>
      </c>
      <c r="G62" s="15" t="s">
        <v>28</v>
      </c>
      <c r="H62" s="15" t="s">
        <v>90</v>
      </c>
      <c r="I62" s="15" t="s">
        <v>89</v>
      </c>
      <c r="J62" s="12" t="s">
        <v>30</v>
      </c>
      <c r="K62" s="16" t="n">
        <v>121</v>
      </c>
      <c r="L62" s="15"/>
    </row>
    <row r="63" customFormat="false" ht="15" hidden="false" customHeight="false" outlineLevel="0" collapsed="false">
      <c r="A63" s="6" t="n">
        <v>5</v>
      </c>
      <c r="B63" s="6" t="str">
        <f aca="false">INDEX(条文マスタ!$B$5:$B$12,MATCH($A63,条文マスタ!$A$5:$A$12,0))</f>
        <v>第　条　第　項</v>
      </c>
      <c r="C63" s="7" t="str">
        <f aca="false">INDEX(条文マスタ!$C$5:$C$12,MATCH($A63,条文マスタ!$A$5:$A$12,0))</f>
        <v>工事情報共有システム（ASP）の確認</v>
      </c>
      <c r="D63" s="7"/>
      <c r="E63" s="7"/>
      <c r="F63" s="7"/>
      <c r="G63" s="7"/>
      <c r="H63" s="7"/>
      <c r="I63" s="9" t="str">
        <f aca="false">COUNTIF($A$64:$A$73,$A63)&amp;"件"</f>
        <v>10件</v>
      </c>
      <c r="J63" s="9" t="s">
        <v>19</v>
      </c>
      <c r="K63" s="6" t="str">
        <f aca="false">SUMPRODUCT(($A$64:$A$73=$A63)/COUNTIFS($A$64:$A$73,$A$64:$A$73,$D$64:$D$73,$D$64:$D$73))&amp;"日"</f>
        <v>7日</v>
      </c>
      <c r="L63" s="10"/>
    </row>
    <row r="64" customFormat="false" ht="15" hidden="false" customHeight="false" outlineLevel="0" collapsed="false">
      <c r="A64" s="11" t="n">
        <v>5</v>
      </c>
      <c r="B64" s="12" t="str">
        <f aca="false">$B$63</f>
        <v>第　条　第　項</v>
      </c>
      <c r="C64" s="12" t="n">
        <v>1</v>
      </c>
      <c r="D64" s="13" t="n">
        <v>46266</v>
      </c>
      <c r="E64" s="12" t="str">
        <f aca="false">MID("日月火水木金土",WEEKDAY(D64),1)</f>
        <v>火</v>
      </c>
      <c r="F64" s="14" t="s">
        <v>37</v>
      </c>
      <c r="G64" s="15" t="s">
        <v>28</v>
      </c>
      <c r="H64" s="17" t="s">
        <v>91</v>
      </c>
      <c r="I64" s="15"/>
      <c r="J64" s="12" t="s">
        <v>30</v>
      </c>
      <c r="K64" s="16" t="n">
        <v>104</v>
      </c>
      <c r="L64" s="15"/>
    </row>
    <row r="65" customFormat="false" ht="15" hidden="false" customHeight="false" outlineLevel="0" collapsed="false">
      <c r="A65" s="11" t="n">
        <v>5</v>
      </c>
      <c r="B65" s="12" t="str">
        <f aca="false">$B$63</f>
        <v>第　条　第　項</v>
      </c>
      <c r="C65" s="12" t="n">
        <v>2</v>
      </c>
      <c r="D65" s="13" t="n">
        <v>46266</v>
      </c>
      <c r="E65" s="12" t="str">
        <f aca="false">MID("日月火水木金土",WEEKDAY(D65),1)</f>
        <v>火</v>
      </c>
      <c r="F65" s="14" t="s">
        <v>31</v>
      </c>
      <c r="G65" s="15" t="s">
        <v>21</v>
      </c>
      <c r="H65" s="15" t="s">
        <v>92</v>
      </c>
      <c r="I65" s="15"/>
      <c r="J65" s="12" t="s">
        <v>23</v>
      </c>
      <c r="K65" s="16" t="n">
        <v>104</v>
      </c>
      <c r="L65" s="15"/>
    </row>
    <row r="66" customFormat="false" ht="15" hidden="false" customHeight="false" outlineLevel="0" collapsed="false">
      <c r="A66" s="11" t="n">
        <v>5</v>
      </c>
      <c r="B66" s="12" t="str">
        <f aca="false">$B$63</f>
        <v>第　条　第　項</v>
      </c>
      <c r="C66" s="12" t="n">
        <v>3</v>
      </c>
      <c r="D66" s="13" t="n">
        <v>46267</v>
      </c>
      <c r="E66" s="12" t="str">
        <f aca="false">MID("日月火水木金土",WEEKDAY(D66),1)</f>
        <v>水</v>
      </c>
      <c r="F66" s="14" t="s">
        <v>48</v>
      </c>
      <c r="G66" s="15" t="s">
        <v>28</v>
      </c>
      <c r="H66" s="15" t="s">
        <v>93</v>
      </c>
      <c r="I66" s="15"/>
      <c r="J66" s="12" t="s">
        <v>30</v>
      </c>
      <c r="K66" s="16" t="n">
        <v>105</v>
      </c>
      <c r="L66" s="15"/>
    </row>
    <row r="67" customFormat="false" ht="15" hidden="false" customHeight="false" outlineLevel="0" collapsed="false">
      <c r="A67" s="11" t="n">
        <v>5</v>
      </c>
      <c r="B67" s="12" t="str">
        <f aca="false">$B$63</f>
        <v>第　条　第　項</v>
      </c>
      <c r="C67" s="12" t="n">
        <v>4</v>
      </c>
      <c r="D67" s="13" t="n">
        <v>46272</v>
      </c>
      <c r="E67" s="12" t="str">
        <f aca="false">MID("日月火水木金土",WEEKDAY(D67),1)</f>
        <v>月</v>
      </c>
      <c r="F67" s="14" t="s">
        <v>31</v>
      </c>
      <c r="G67" s="15" t="s">
        <v>41</v>
      </c>
      <c r="H67" s="17" t="s">
        <v>94</v>
      </c>
      <c r="I67" s="15"/>
      <c r="J67" s="12" t="s">
        <v>23</v>
      </c>
      <c r="K67" s="16" t="n">
        <v>108</v>
      </c>
      <c r="L67" s="15"/>
    </row>
    <row r="68" customFormat="false" ht="15" hidden="false" customHeight="false" outlineLevel="0" collapsed="false">
      <c r="A68" s="11" t="n">
        <v>5</v>
      </c>
      <c r="B68" s="12" t="str">
        <f aca="false">$B$63</f>
        <v>第　条　第　項</v>
      </c>
      <c r="C68" s="12" t="n">
        <v>5</v>
      </c>
      <c r="D68" s="13" t="n">
        <v>46273</v>
      </c>
      <c r="E68" s="12" t="str">
        <f aca="false">MID("日月火水木金土",WEEKDAY(D68),1)</f>
        <v>火</v>
      </c>
      <c r="F68" s="14" t="s">
        <v>35</v>
      </c>
      <c r="G68" s="15" t="s">
        <v>21</v>
      </c>
      <c r="H68" s="15" t="s">
        <v>95</v>
      </c>
      <c r="I68" s="15"/>
      <c r="J68" s="12" t="s">
        <v>23</v>
      </c>
      <c r="K68" s="16" t="n">
        <v>109</v>
      </c>
      <c r="L68" s="15"/>
    </row>
    <row r="69" customFormat="false" ht="15" hidden="false" customHeight="false" outlineLevel="0" collapsed="false">
      <c r="A69" s="11" t="n">
        <v>5</v>
      </c>
      <c r="B69" s="12" t="str">
        <f aca="false">$B$63</f>
        <v>第　条　第　項</v>
      </c>
      <c r="C69" s="12" t="n">
        <v>6</v>
      </c>
      <c r="D69" s="13" t="n">
        <v>46273</v>
      </c>
      <c r="E69" s="12" t="str">
        <f aca="false">MID("日月火水木金土",WEEKDAY(D69),1)</f>
        <v>火</v>
      </c>
      <c r="F69" s="14" t="s">
        <v>20</v>
      </c>
      <c r="G69" s="15" t="s">
        <v>41</v>
      </c>
      <c r="H69" s="17" t="s">
        <v>94</v>
      </c>
      <c r="I69" s="15"/>
      <c r="J69" s="12" t="s">
        <v>23</v>
      </c>
      <c r="K69" s="16" t="n">
        <v>109</v>
      </c>
      <c r="L69" s="15"/>
    </row>
    <row r="70" customFormat="false" ht="15" hidden="false" customHeight="false" outlineLevel="0" collapsed="false">
      <c r="A70" s="11" t="n">
        <v>5</v>
      </c>
      <c r="B70" s="12" t="str">
        <f aca="false">$B$63</f>
        <v>第　条　第　項</v>
      </c>
      <c r="C70" s="12" t="n">
        <v>7</v>
      </c>
      <c r="D70" s="13" t="n">
        <v>46279</v>
      </c>
      <c r="E70" s="12" t="str">
        <f aca="false">MID("日月火水木金土",WEEKDAY(D70),1)</f>
        <v>月</v>
      </c>
      <c r="F70" s="14" t="s">
        <v>35</v>
      </c>
      <c r="G70" s="15" t="s">
        <v>21</v>
      </c>
      <c r="H70" s="17" t="s">
        <v>96</v>
      </c>
      <c r="I70" s="15" t="s">
        <v>53</v>
      </c>
      <c r="J70" s="12" t="s">
        <v>23</v>
      </c>
      <c r="K70" s="16" t="n">
        <v>113</v>
      </c>
      <c r="L70" s="15"/>
    </row>
    <row r="71" customFormat="false" ht="15" hidden="false" customHeight="false" outlineLevel="0" collapsed="false">
      <c r="A71" s="11" t="n">
        <v>5</v>
      </c>
      <c r="B71" s="12" t="str">
        <f aca="false">$B$63</f>
        <v>第　条　第　項</v>
      </c>
      <c r="C71" s="12" t="n">
        <v>8</v>
      </c>
      <c r="D71" s="13" t="n">
        <v>46280</v>
      </c>
      <c r="E71" s="12" t="str">
        <f aca="false">MID("日月火水木金土",WEEKDAY(D71),1)</f>
        <v>火</v>
      </c>
      <c r="F71" s="14" t="s">
        <v>31</v>
      </c>
      <c r="G71" s="15" t="s">
        <v>28</v>
      </c>
      <c r="H71" s="15" t="s">
        <v>97</v>
      </c>
      <c r="I71" s="15"/>
      <c r="J71" s="12" t="s">
        <v>30</v>
      </c>
      <c r="K71" s="16" t="n">
        <v>114</v>
      </c>
      <c r="L71" s="15"/>
    </row>
    <row r="72" customFormat="false" ht="15" hidden="false" customHeight="false" outlineLevel="0" collapsed="false">
      <c r="A72" s="11" t="n">
        <v>5</v>
      </c>
      <c r="B72" s="12" t="str">
        <f aca="false">$B$63</f>
        <v>第　条　第　項</v>
      </c>
      <c r="C72" s="12" t="n">
        <v>9</v>
      </c>
      <c r="D72" s="13" t="n">
        <v>46280</v>
      </c>
      <c r="E72" s="12" t="str">
        <f aca="false">MID("日月火水木金土",WEEKDAY(D72),1)</f>
        <v>火</v>
      </c>
      <c r="F72" s="14" t="s">
        <v>79</v>
      </c>
      <c r="G72" s="15" t="s">
        <v>28</v>
      </c>
      <c r="H72" s="15" t="s">
        <v>98</v>
      </c>
      <c r="I72" s="15"/>
      <c r="J72" s="12" t="s">
        <v>30</v>
      </c>
      <c r="K72" s="16" t="n">
        <v>114</v>
      </c>
      <c r="L72" s="15"/>
    </row>
    <row r="73" customFormat="false" ht="15" hidden="false" customHeight="false" outlineLevel="0" collapsed="false">
      <c r="A73" s="11" t="n">
        <v>5</v>
      </c>
      <c r="B73" s="12" t="str">
        <f aca="false">$B$63</f>
        <v>第　条　第　項</v>
      </c>
      <c r="C73" s="12" t="n">
        <v>10</v>
      </c>
      <c r="D73" s="13" t="n">
        <v>46281</v>
      </c>
      <c r="E73" s="12" t="str">
        <f aca="false">MID("日月火水木金土",WEEKDAY(D73),1)</f>
        <v>水</v>
      </c>
      <c r="F73" s="14" t="s">
        <v>31</v>
      </c>
      <c r="G73" s="15" t="s">
        <v>28</v>
      </c>
      <c r="H73" s="15" t="s">
        <v>98</v>
      </c>
      <c r="I73" s="15"/>
      <c r="J73" s="12" t="s">
        <v>30</v>
      </c>
      <c r="K73" s="16" t="n">
        <v>115</v>
      </c>
      <c r="L73" s="15"/>
    </row>
    <row r="74" customFormat="false" ht="15" hidden="false" customHeight="false" outlineLevel="0" collapsed="false">
      <c r="A74" s="6" t="n">
        <v>6</v>
      </c>
      <c r="B74" s="6" t="str">
        <f aca="false">INDEX(条文マスタ!$B$5:$B$12,MATCH($A74,条文マスタ!$A$5:$A$12,0))</f>
        <v>第　条　第　項</v>
      </c>
      <c r="C74" s="7" t="str">
        <f aca="false">INDEX(条文マスタ!$C$5:$C$12,MATCH($A74,条文マスタ!$A$5:$A$12,0))</f>
        <v>地元・関係者調整資料の作成</v>
      </c>
      <c r="D74" s="7"/>
      <c r="E74" s="7"/>
      <c r="F74" s="7"/>
      <c r="G74" s="7"/>
      <c r="H74" s="7"/>
      <c r="I74" s="9" t="str">
        <f aca="false">COUNTIF($A$75:$A$83,$A74)&amp;"件"</f>
        <v>9件</v>
      </c>
      <c r="J74" s="9" t="s">
        <v>19</v>
      </c>
      <c r="K74" s="6" t="str">
        <f aca="false">SUMPRODUCT(($A$75:$A$83=$A74)/COUNTIFS($A$75:$A$83,$A$75:$A$83,$D$75:$D$83,$D$75:$D$83))&amp;"日"</f>
        <v>7日</v>
      </c>
      <c r="L74" s="10"/>
    </row>
    <row r="75" customFormat="false" ht="15" hidden="false" customHeight="false" outlineLevel="0" collapsed="false">
      <c r="A75" s="11" t="n">
        <v>6</v>
      </c>
      <c r="B75" s="12" t="str">
        <f aca="false">$B$74</f>
        <v>第　条　第　項</v>
      </c>
      <c r="C75" s="12" t="n">
        <v>1</v>
      </c>
      <c r="D75" s="13" t="n">
        <v>46268</v>
      </c>
      <c r="E75" s="12" t="str">
        <f aca="false">MID("日月火水木金土",WEEKDAY(D75),1)</f>
        <v>木</v>
      </c>
      <c r="F75" s="14" t="s">
        <v>35</v>
      </c>
      <c r="G75" s="15" t="s">
        <v>21</v>
      </c>
      <c r="H75" s="15" t="s">
        <v>99</v>
      </c>
      <c r="I75" s="15"/>
      <c r="J75" s="12" t="s">
        <v>23</v>
      </c>
      <c r="K75" s="16" t="n">
        <v>106</v>
      </c>
      <c r="L75" s="15"/>
    </row>
    <row r="76" customFormat="false" ht="15" hidden="false" customHeight="false" outlineLevel="0" collapsed="false">
      <c r="A76" s="11" t="n">
        <v>6</v>
      </c>
      <c r="B76" s="12" t="str">
        <f aca="false">$B$74</f>
        <v>第　条　第　項</v>
      </c>
      <c r="C76" s="12" t="n">
        <v>2</v>
      </c>
      <c r="D76" s="13" t="n">
        <v>46275</v>
      </c>
      <c r="E76" s="12" t="str">
        <f aca="false">MID("日月火水木金土",WEEKDAY(D76),1)</f>
        <v>木</v>
      </c>
      <c r="F76" s="14" t="s">
        <v>100</v>
      </c>
      <c r="G76" s="15" t="s">
        <v>21</v>
      </c>
      <c r="H76" s="15" t="s">
        <v>101</v>
      </c>
      <c r="I76" s="15"/>
      <c r="J76" s="12" t="s">
        <v>23</v>
      </c>
      <c r="K76" s="16" t="n">
        <v>111</v>
      </c>
      <c r="L76" s="15"/>
    </row>
    <row r="77" customFormat="false" ht="15" hidden="false" customHeight="false" outlineLevel="0" collapsed="false">
      <c r="A77" s="11" t="n">
        <v>6</v>
      </c>
      <c r="B77" s="12" t="str">
        <f aca="false">$B$74</f>
        <v>第　条　第　項</v>
      </c>
      <c r="C77" s="12" t="n">
        <v>3</v>
      </c>
      <c r="D77" s="13" t="n">
        <v>46279</v>
      </c>
      <c r="E77" s="12" t="str">
        <f aca="false">MID("日月火水木金土",WEEKDAY(D77),1)</f>
        <v>月</v>
      </c>
      <c r="F77" s="14" t="s">
        <v>48</v>
      </c>
      <c r="G77" s="15" t="s">
        <v>43</v>
      </c>
      <c r="H77" s="15" t="s">
        <v>102</v>
      </c>
      <c r="I77" s="15" t="s">
        <v>68</v>
      </c>
      <c r="J77" s="12" t="s">
        <v>23</v>
      </c>
      <c r="K77" s="16" t="n">
        <v>113</v>
      </c>
      <c r="L77" s="15"/>
    </row>
    <row r="78" customFormat="false" ht="15" hidden="false" customHeight="false" outlineLevel="0" collapsed="false">
      <c r="A78" s="11" t="n">
        <v>6</v>
      </c>
      <c r="B78" s="12" t="str">
        <f aca="false">$B$74</f>
        <v>第　条　第　項</v>
      </c>
      <c r="C78" s="12" t="n">
        <v>4</v>
      </c>
      <c r="D78" s="13" t="n">
        <v>46289</v>
      </c>
      <c r="E78" s="12" t="str">
        <f aca="false">MID("日月火水木金土",WEEKDAY(D78),1)</f>
        <v>木</v>
      </c>
      <c r="F78" s="14" t="s">
        <v>103</v>
      </c>
      <c r="G78" s="15" t="s">
        <v>104</v>
      </c>
      <c r="H78" s="15" t="s">
        <v>105</v>
      </c>
      <c r="I78" s="15"/>
      <c r="J78" s="12" t="s">
        <v>106</v>
      </c>
      <c r="K78" s="16" t="n">
        <v>118</v>
      </c>
      <c r="L78" s="15"/>
    </row>
    <row r="79" customFormat="false" ht="26.85" hidden="false" customHeight="false" outlineLevel="0" collapsed="false">
      <c r="A79" s="11" t="n">
        <v>6</v>
      </c>
      <c r="B79" s="12" t="str">
        <f aca="false">$B$74</f>
        <v>第　条　第　項</v>
      </c>
      <c r="C79" s="12" t="n">
        <v>5</v>
      </c>
      <c r="D79" s="13" t="n">
        <v>46289</v>
      </c>
      <c r="E79" s="12" t="str">
        <f aca="false">MID("日月火水木金土",WEEKDAY(D79),1)</f>
        <v>木</v>
      </c>
      <c r="F79" s="14" t="s">
        <v>79</v>
      </c>
      <c r="G79" s="15" t="s">
        <v>107</v>
      </c>
      <c r="H79" s="15" t="s">
        <v>108</v>
      </c>
      <c r="I79" s="15"/>
      <c r="J79" s="12" t="s">
        <v>30</v>
      </c>
      <c r="K79" s="16" t="n">
        <v>118</v>
      </c>
      <c r="L79" s="15"/>
    </row>
    <row r="80" customFormat="false" ht="15" hidden="false" customHeight="false" outlineLevel="0" collapsed="false">
      <c r="A80" s="11" t="n">
        <v>6</v>
      </c>
      <c r="B80" s="12" t="str">
        <f aca="false">$B$74</f>
        <v>第　条　第　項</v>
      </c>
      <c r="C80" s="12" t="n">
        <v>6</v>
      </c>
      <c r="D80" s="13" t="n">
        <v>46290</v>
      </c>
      <c r="E80" s="12" t="str">
        <f aca="false">MID("日月火水木金土",WEEKDAY(D80),1)</f>
        <v>金</v>
      </c>
      <c r="F80" s="14" t="s">
        <v>35</v>
      </c>
      <c r="G80" s="17" t="s">
        <v>109</v>
      </c>
      <c r="H80" s="15" t="s">
        <v>110</v>
      </c>
      <c r="I80" s="15"/>
      <c r="J80" s="12" t="s">
        <v>23</v>
      </c>
      <c r="K80" s="16" t="n">
        <v>119</v>
      </c>
      <c r="L80" s="15"/>
    </row>
    <row r="81" customFormat="false" ht="26.85" hidden="false" customHeight="false" outlineLevel="0" collapsed="false">
      <c r="A81" s="11" t="n">
        <v>6</v>
      </c>
      <c r="B81" s="12" t="str">
        <f aca="false">$B$74</f>
        <v>第　条　第　項</v>
      </c>
      <c r="C81" s="12" t="n">
        <v>7</v>
      </c>
      <c r="D81" s="13" t="n">
        <v>46294</v>
      </c>
      <c r="E81" s="12" t="str">
        <f aca="false">MID("日月火水木金土",WEEKDAY(D81),1)</f>
        <v>火</v>
      </c>
      <c r="F81" s="14" t="s">
        <v>111</v>
      </c>
      <c r="G81" s="15" t="s">
        <v>112</v>
      </c>
      <c r="H81" s="15" t="s">
        <v>113</v>
      </c>
      <c r="I81" s="15" t="s">
        <v>114</v>
      </c>
      <c r="J81" s="12" t="s">
        <v>30</v>
      </c>
      <c r="K81" s="16" t="n">
        <v>121</v>
      </c>
      <c r="L81" s="15"/>
    </row>
    <row r="82" customFormat="false" ht="26.85" hidden="false" customHeight="false" outlineLevel="0" collapsed="false">
      <c r="A82" s="11" t="n">
        <v>6</v>
      </c>
      <c r="B82" s="12" t="str">
        <f aca="false">$B$74</f>
        <v>第　条　第　項</v>
      </c>
      <c r="C82" s="12" t="n">
        <v>8</v>
      </c>
      <c r="D82" s="13" t="n">
        <v>46295</v>
      </c>
      <c r="E82" s="12" t="str">
        <f aca="false">MID("日月火水木金土",WEEKDAY(D82),1)</f>
        <v>水</v>
      </c>
      <c r="F82" s="14" t="s">
        <v>35</v>
      </c>
      <c r="G82" s="15" t="s">
        <v>112</v>
      </c>
      <c r="H82" s="15" t="s">
        <v>115</v>
      </c>
      <c r="I82" s="15"/>
      <c r="J82" s="12" t="s">
        <v>30</v>
      </c>
      <c r="K82" s="16" t="n">
        <v>122</v>
      </c>
      <c r="L82" s="15"/>
    </row>
    <row r="83" customFormat="false" ht="26.85" hidden="false" customHeight="false" outlineLevel="0" collapsed="false">
      <c r="A83" s="11" t="n">
        <v>6</v>
      </c>
      <c r="B83" s="12" t="str">
        <f aca="false">$B$74</f>
        <v>第　条　第　項</v>
      </c>
      <c r="C83" s="12" t="n">
        <v>9</v>
      </c>
      <c r="D83" s="13" t="n">
        <v>46295</v>
      </c>
      <c r="E83" s="12" t="str">
        <f aca="false">MID("日月火水木金土",WEEKDAY(D83),1)</f>
        <v>水</v>
      </c>
      <c r="F83" s="14" t="s">
        <v>37</v>
      </c>
      <c r="G83" s="15" t="s">
        <v>112</v>
      </c>
      <c r="H83" s="15" t="s">
        <v>115</v>
      </c>
      <c r="I83" s="15"/>
      <c r="J83" s="12" t="s">
        <v>30</v>
      </c>
      <c r="K83" s="16" t="n">
        <v>122</v>
      </c>
      <c r="L83" s="15"/>
    </row>
    <row r="84" customFormat="false" ht="15" hidden="false" customHeight="false" outlineLevel="0" collapsed="false">
      <c r="A84" s="6" t="n">
        <v>7</v>
      </c>
      <c r="B84" s="6" t="str">
        <f aca="false">INDEX(条文マスタ!$B$5:$B$12,MATCH($A84,条文マスタ!$A$5:$A$12,0))</f>
        <v>第　条　第　項</v>
      </c>
      <c r="C84" s="7" t="str">
        <f aca="false">INDEX(条文マスタ!$C$5:$C$12,MATCH($A84,条文マスタ!$A$5:$A$12,0))</f>
        <v>定期観測・調査</v>
      </c>
      <c r="D84" s="7"/>
      <c r="E84" s="7"/>
      <c r="F84" s="7"/>
      <c r="G84" s="7"/>
      <c r="H84" s="7"/>
      <c r="I84" s="9" t="str">
        <f aca="false">COUNTIF($A$85:$A$91,$A84)&amp;"件"</f>
        <v>7件</v>
      </c>
      <c r="J84" s="9" t="s">
        <v>19</v>
      </c>
      <c r="K84" s="6" t="str">
        <f aca="false">SUMPRODUCT(($A$85:$A$91=$A84)/COUNTIFS($A$85:$A$91,$A$85:$A$91,$D$85:$D$91,$D$85:$D$91))&amp;"日"</f>
        <v>3日</v>
      </c>
      <c r="L84" s="10"/>
    </row>
    <row r="85" customFormat="false" ht="15" hidden="false" customHeight="false" outlineLevel="0" collapsed="false">
      <c r="A85" s="11" t="n">
        <v>7</v>
      </c>
      <c r="B85" s="12" t="str">
        <f aca="false">$B$84</f>
        <v>第　条　第　項</v>
      </c>
      <c r="C85" s="12" t="n">
        <v>1</v>
      </c>
      <c r="D85" s="13" t="n">
        <v>46272</v>
      </c>
      <c r="E85" s="12" t="str">
        <f aca="false">MID("日月火水木金土",WEEKDAY(D85),1)</f>
        <v>月</v>
      </c>
      <c r="F85" s="14" t="s">
        <v>116</v>
      </c>
      <c r="G85" s="15" t="s">
        <v>117</v>
      </c>
      <c r="H85" s="15" t="s">
        <v>118</v>
      </c>
      <c r="I85" s="15"/>
      <c r="J85" s="12" t="s">
        <v>106</v>
      </c>
      <c r="K85" s="16" t="n">
        <v>108</v>
      </c>
      <c r="L85" s="15"/>
    </row>
    <row r="86" customFormat="false" ht="15" hidden="false" customHeight="false" outlineLevel="0" collapsed="false">
      <c r="A86" s="11" t="n">
        <v>7</v>
      </c>
      <c r="B86" s="12" t="str">
        <f aca="false">$B$84</f>
        <v>第　条　第　項</v>
      </c>
      <c r="C86" s="12" t="n">
        <v>2</v>
      </c>
      <c r="D86" s="13" t="n">
        <v>46276</v>
      </c>
      <c r="E86" s="12" t="str">
        <f aca="false">MID("日月火水木金土",WEEKDAY(D86),1)</f>
        <v>金</v>
      </c>
      <c r="F86" s="14" t="s">
        <v>24</v>
      </c>
      <c r="G86" s="15" t="s">
        <v>119</v>
      </c>
      <c r="H86" s="15" t="s">
        <v>120</v>
      </c>
      <c r="I86" s="15"/>
      <c r="J86" s="12" t="s">
        <v>23</v>
      </c>
      <c r="K86" s="16" t="n">
        <v>112</v>
      </c>
      <c r="L86" s="15"/>
    </row>
    <row r="87" customFormat="false" ht="15" hidden="false" customHeight="false" outlineLevel="0" collapsed="false">
      <c r="A87" s="11" t="n">
        <v>7</v>
      </c>
      <c r="B87" s="12" t="str">
        <f aca="false">$B$84</f>
        <v>第　条　第　項</v>
      </c>
      <c r="C87" s="12" t="n">
        <v>3</v>
      </c>
      <c r="D87" s="13" t="n">
        <v>46276</v>
      </c>
      <c r="E87" s="12" t="str">
        <f aca="false">MID("日月火水木金土",WEEKDAY(D87),1)</f>
        <v>金</v>
      </c>
      <c r="F87" s="14" t="s">
        <v>79</v>
      </c>
      <c r="G87" s="15" t="s">
        <v>119</v>
      </c>
      <c r="H87" s="15" t="s">
        <v>121</v>
      </c>
      <c r="I87" s="15"/>
      <c r="J87" s="12" t="s">
        <v>23</v>
      </c>
      <c r="K87" s="16" t="n">
        <v>112</v>
      </c>
      <c r="L87" s="15"/>
    </row>
    <row r="88" customFormat="false" ht="15" hidden="false" customHeight="false" outlineLevel="0" collapsed="false">
      <c r="A88" s="11" t="n">
        <v>7</v>
      </c>
      <c r="B88" s="12" t="str">
        <f aca="false">$B$84</f>
        <v>第　条　第　項</v>
      </c>
      <c r="C88" s="12" t="n">
        <v>4</v>
      </c>
      <c r="D88" s="13" t="n">
        <v>46276</v>
      </c>
      <c r="E88" s="12" t="str">
        <f aca="false">MID("日月火水木金土",WEEKDAY(D88),1)</f>
        <v>金</v>
      </c>
      <c r="F88" s="14" t="s">
        <v>38</v>
      </c>
      <c r="G88" s="15" t="s">
        <v>119</v>
      </c>
      <c r="H88" s="15" t="s">
        <v>122</v>
      </c>
      <c r="I88" s="15"/>
      <c r="J88" s="12" t="s">
        <v>23</v>
      </c>
      <c r="K88" s="16" t="n">
        <v>112</v>
      </c>
      <c r="L88" s="15"/>
    </row>
    <row r="89" customFormat="false" ht="15" hidden="false" customHeight="false" outlineLevel="0" collapsed="false">
      <c r="A89" s="11" t="n">
        <v>7</v>
      </c>
      <c r="B89" s="12" t="str">
        <f aca="false">$B$84</f>
        <v>第　条　第　項</v>
      </c>
      <c r="C89" s="12" t="n">
        <v>5</v>
      </c>
      <c r="D89" s="13" t="n">
        <v>46289</v>
      </c>
      <c r="E89" s="12" t="str">
        <f aca="false">MID("日月火水木金土",WEEKDAY(D89),1)</f>
        <v>木</v>
      </c>
      <c r="F89" s="14" t="s">
        <v>48</v>
      </c>
      <c r="G89" s="15" t="s">
        <v>119</v>
      </c>
      <c r="H89" s="15" t="s">
        <v>120</v>
      </c>
      <c r="I89" s="15"/>
      <c r="J89" s="12" t="s">
        <v>23</v>
      </c>
      <c r="K89" s="16" t="n">
        <v>118</v>
      </c>
      <c r="L89" s="15"/>
    </row>
    <row r="90" customFormat="false" ht="15" hidden="false" customHeight="false" outlineLevel="0" collapsed="false">
      <c r="A90" s="11" t="n">
        <v>7</v>
      </c>
      <c r="B90" s="12" t="str">
        <f aca="false">$B$84</f>
        <v>第　条　第　項</v>
      </c>
      <c r="C90" s="12" t="n">
        <v>6</v>
      </c>
      <c r="D90" s="13" t="n">
        <v>46289</v>
      </c>
      <c r="E90" s="12" t="str">
        <f aca="false">MID("日月火水木金土",WEEKDAY(D90),1)</f>
        <v>木</v>
      </c>
      <c r="F90" s="14" t="s">
        <v>26</v>
      </c>
      <c r="G90" s="15" t="s">
        <v>119</v>
      </c>
      <c r="H90" s="15" t="s">
        <v>121</v>
      </c>
      <c r="I90" s="15"/>
      <c r="J90" s="12" t="s">
        <v>23</v>
      </c>
      <c r="K90" s="16" t="n">
        <v>118</v>
      </c>
      <c r="L90" s="15"/>
    </row>
    <row r="91" customFormat="false" ht="15" hidden="false" customHeight="false" outlineLevel="0" collapsed="false">
      <c r="A91" s="11" t="n">
        <v>7</v>
      </c>
      <c r="B91" s="12" t="str">
        <f aca="false">$B$84</f>
        <v>第　条　第　項</v>
      </c>
      <c r="C91" s="12" t="n">
        <v>7</v>
      </c>
      <c r="D91" s="13" t="n">
        <v>46289</v>
      </c>
      <c r="E91" s="12" t="str">
        <f aca="false">MID("日月火水木金土",WEEKDAY(D91),1)</f>
        <v>木</v>
      </c>
      <c r="F91" s="14" t="s">
        <v>116</v>
      </c>
      <c r="G91" s="15" t="s">
        <v>119</v>
      </c>
      <c r="H91" s="15" t="s">
        <v>122</v>
      </c>
      <c r="I91" s="15"/>
      <c r="J91" s="12" t="s">
        <v>23</v>
      </c>
      <c r="K91" s="16" t="n">
        <v>118</v>
      </c>
      <c r="L91" s="15"/>
    </row>
    <row r="92" customFormat="false" ht="15" hidden="false" customHeight="false" outlineLevel="0" collapsed="false">
      <c r="A92" s="6" t="n">
        <v>8</v>
      </c>
      <c r="B92" s="6" t="str">
        <f aca="false">INDEX(条文マスタ!$B$5:$B$12,MATCH($A92,条文マスタ!$A$5:$A$12,0))</f>
        <v>第　条　第　項</v>
      </c>
      <c r="C92" s="7" t="str">
        <f aca="false">INDEX(条文マスタ!$C$5:$C$12,MATCH($A92,条文マスタ!$A$5:$A$12,0))</f>
        <v>業務打合せ・報告</v>
      </c>
      <c r="D92" s="7"/>
      <c r="E92" s="7"/>
      <c r="F92" s="7"/>
      <c r="G92" s="7"/>
      <c r="H92" s="7"/>
      <c r="I92" s="9" t="str">
        <f aca="false">COUNTIF($A$93:$A$116,$A92)&amp;"件"</f>
        <v>24件</v>
      </c>
      <c r="J92" s="9" t="s">
        <v>19</v>
      </c>
      <c r="K92" s="6" t="str">
        <f aca="false">SUMPRODUCT(($A$93:$A$116=$A92)/COUNTIFS($A$93:$A$116,$A$93:$A$116,$D$93:$D$116,$D$93:$D$116))&amp;"日"</f>
        <v>19日</v>
      </c>
      <c r="L92" s="10"/>
    </row>
    <row r="93" customFormat="false" ht="26.85" hidden="false" customHeight="false" outlineLevel="0" collapsed="false">
      <c r="A93" s="11" t="n">
        <v>8</v>
      </c>
      <c r="B93" s="12" t="str">
        <f aca="false">$B$92</f>
        <v>第　条　第　項</v>
      </c>
      <c r="C93" s="12" t="n">
        <v>1</v>
      </c>
      <c r="D93" s="13" t="n">
        <v>46266</v>
      </c>
      <c r="E93" s="12" t="str">
        <f aca="false">MID("日月火水木金土",WEEKDAY(D93),1)</f>
        <v>火</v>
      </c>
      <c r="F93" s="14" t="s">
        <v>111</v>
      </c>
      <c r="G93" s="17" t="s">
        <v>109</v>
      </c>
      <c r="H93" s="17" t="s">
        <v>123</v>
      </c>
      <c r="I93" s="15"/>
      <c r="J93" s="12" t="s">
        <v>23</v>
      </c>
      <c r="K93" s="16" t="n">
        <v>104</v>
      </c>
      <c r="L93" s="15" t="s">
        <v>124</v>
      </c>
    </row>
    <row r="94" customFormat="false" ht="26.85" hidden="false" customHeight="false" outlineLevel="0" collapsed="false">
      <c r="A94" s="11" t="n">
        <v>8</v>
      </c>
      <c r="B94" s="12" t="str">
        <f aca="false">$B$92</f>
        <v>第　条　第　項</v>
      </c>
      <c r="C94" s="12" t="n">
        <v>2</v>
      </c>
      <c r="D94" s="13" t="n">
        <v>46267</v>
      </c>
      <c r="E94" s="12" t="str">
        <f aca="false">MID("日月火水木金土",WEEKDAY(D94),1)</f>
        <v>水</v>
      </c>
      <c r="F94" s="14" t="s">
        <v>111</v>
      </c>
      <c r="G94" s="17" t="s">
        <v>109</v>
      </c>
      <c r="H94" s="17" t="s">
        <v>125</v>
      </c>
      <c r="I94" s="15"/>
      <c r="J94" s="12" t="s">
        <v>23</v>
      </c>
      <c r="K94" s="16" t="n">
        <v>105</v>
      </c>
      <c r="L94" s="15" t="s">
        <v>124</v>
      </c>
    </row>
    <row r="95" customFormat="false" ht="15" hidden="false" customHeight="false" outlineLevel="0" collapsed="false">
      <c r="A95" s="11" t="n">
        <v>8</v>
      </c>
      <c r="B95" s="12" t="str">
        <f aca="false">$B$92</f>
        <v>第　条　第　項</v>
      </c>
      <c r="C95" s="12" t="n">
        <v>3</v>
      </c>
      <c r="D95" s="13" t="n">
        <v>46267</v>
      </c>
      <c r="E95" s="12" t="str">
        <f aca="false">MID("日月火水木金土",WEEKDAY(D95),1)</f>
        <v>水</v>
      </c>
      <c r="F95" s="14" t="s">
        <v>35</v>
      </c>
      <c r="G95" s="17" t="s">
        <v>109</v>
      </c>
      <c r="H95" s="15" t="s">
        <v>126</v>
      </c>
      <c r="I95" s="15"/>
      <c r="J95" s="12" t="s">
        <v>23</v>
      </c>
      <c r="K95" s="16" t="n">
        <v>105</v>
      </c>
      <c r="L95" s="15"/>
    </row>
    <row r="96" customFormat="false" ht="26.85" hidden="false" customHeight="false" outlineLevel="0" collapsed="false">
      <c r="A96" s="11" t="n">
        <v>8</v>
      </c>
      <c r="B96" s="12" t="str">
        <f aca="false">$B$92</f>
        <v>第　条　第　項</v>
      </c>
      <c r="C96" s="12" t="n">
        <v>4</v>
      </c>
      <c r="D96" s="13" t="n">
        <v>46268</v>
      </c>
      <c r="E96" s="12" t="str">
        <f aca="false">MID("日月火水木金土",WEEKDAY(D96),1)</f>
        <v>木</v>
      </c>
      <c r="F96" s="14" t="s">
        <v>111</v>
      </c>
      <c r="G96" s="17" t="s">
        <v>109</v>
      </c>
      <c r="H96" s="17" t="s">
        <v>123</v>
      </c>
      <c r="I96" s="15"/>
      <c r="J96" s="12" t="s">
        <v>23</v>
      </c>
      <c r="K96" s="16" t="n">
        <v>106</v>
      </c>
      <c r="L96" s="15" t="s">
        <v>124</v>
      </c>
    </row>
    <row r="97" customFormat="false" ht="26.85" hidden="false" customHeight="false" outlineLevel="0" collapsed="false">
      <c r="A97" s="11" t="n">
        <v>8</v>
      </c>
      <c r="B97" s="12" t="str">
        <f aca="false">$B$92</f>
        <v>第　条　第　項</v>
      </c>
      <c r="C97" s="12" t="n">
        <v>5</v>
      </c>
      <c r="D97" s="13" t="n">
        <v>46269</v>
      </c>
      <c r="E97" s="12" t="str">
        <f aca="false">MID("日月火水木金土",WEEKDAY(D97),1)</f>
        <v>金</v>
      </c>
      <c r="F97" s="14" t="s">
        <v>111</v>
      </c>
      <c r="G97" s="17" t="s">
        <v>109</v>
      </c>
      <c r="H97" s="17" t="s">
        <v>123</v>
      </c>
      <c r="I97" s="15"/>
      <c r="J97" s="12" t="s">
        <v>23</v>
      </c>
      <c r="K97" s="16" t="n">
        <v>107</v>
      </c>
      <c r="L97" s="15" t="s">
        <v>124</v>
      </c>
    </row>
    <row r="98" customFormat="false" ht="26.85" hidden="false" customHeight="false" outlineLevel="0" collapsed="false">
      <c r="A98" s="11" t="n">
        <v>8</v>
      </c>
      <c r="B98" s="12" t="str">
        <f aca="false">$B$92</f>
        <v>第　条　第　項</v>
      </c>
      <c r="C98" s="12" t="n">
        <v>6</v>
      </c>
      <c r="D98" s="13" t="n">
        <v>46272</v>
      </c>
      <c r="E98" s="12" t="str">
        <f aca="false">MID("日月火水木金土",WEEKDAY(D98),1)</f>
        <v>月</v>
      </c>
      <c r="F98" s="14" t="s">
        <v>111</v>
      </c>
      <c r="G98" s="17" t="s">
        <v>109</v>
      </c>
      <c r="H98" s="17" t="s">
        <v>123</v>
      </c>
      <c r="I98" s="15"/>
      <c r="J98" s="12" t="s">
        <v>30</v>
      </c>
      <c r="K98" s="16" t="n">
        <v>108</v>
      </c>
      <c r="L98" s="15" t="s">
        <v>124</v>
      </c>
    </row>
    <row r="99" customFormat="false" ht="26.85" hidden="false" customHeight="false" outlineLevel="0" collapsed="false">
      <c r="A99" s="11" t="n">
        <v>8</v>
      </c>
      <c r="B99" s="12" t="str">
        <f aca="false">$B$92</f>
        <v>第　条　第　項</v>
      </c>
      <c r="C99" s="12" t="n">
        <v>7</v>
      </c>
      <c r="D99" s="13" t="n">
        <v>46273</v>
      </c>
      <c r="E99" s="12" t="str">
        <f aca="false">MID("日月火水木金土",WEEKDAY(D99),1)</f>
        <v>火</v>
      </c>
      <c r="F99" s="14" t="s">
        <v>111</v>
      </c>
      <c r="G99" s="17" t="s">
        <v>109</v>
      </c>
      <c r="H99" s="17" t="s">
        <v>123</v>
      </c>
      <c r="I99" s="15"/>
      <c r="J99" s="12" t="s">
        <v>23</v>
      </c>
      <c r="K99" s="16" t="n">
        <v>109</v>
      </c>
      <c r="L99" s="15" t="s">
        <v>124</v>
      </c>
    </row>
    <row r="100" customFormat="false" ht="26.85" hidden="false" customHeight="false" outlineLevel="0" collapsed="false">
      <c r="A100" s="11" t="n">
        <v>8</v>
      </c>
      <c r="B100" s="12" t="str">
        <f aca="false">$B$92</f>
        <v>第　条　第　項</v>
      </c>
      <c r="C100" s="12" t="n">
        <v>8</v>
      </c>
      <c r="D100" s="13" t="n">
        <v>46274</v>
      </c>
      <c r="E100" s="12" t="str">
        <f aca="false">MID("日月火水木金土",WEEKDAY(D100),1)</f>
        <v>水</v>
      </c>
      <c r="F100" s="14" t="s">
        <v>111</v>
      </c>
      <c r="G100" s="17" t="s">
        <v>109</v>
      </c>
      <c r="H100" s="17" t="s">
        <v>123</v>
      </c>
      <c r="I100" s="15"/>
      <c r="J100" s="12" t="s">
        <v>23</v>
      </c>
      <c r="K100" s="16" t="n">
        <v>110</v>
      </c>
      <c r="L100" s="15" t="s">
        <v>124</v>
      </c>
    </row>
    <row r="101" customFormat="false" ht="26.85" hidden="false" customHeight="false" outlineLevel="0" collapsed="false">
      <c r="A101" s="11" t="n">
        <v>8</v>
      </c>
      <c r="B101" s="12" t="str">
        <f aca="false">$B$92</f>
        <v>第　条　第　項</v>
      </c>
      <c r="C101" s="12" t="n">
        <v>9</v>
      </c>
      <c r="D101" s="13" t="n">
        <v>46275</v>
      </c>
      <c r="E101" s="12" t="str">
        <f aca="false">MID("日月火水木金土",WEEKDAY(D101),1)</f>
        <v>木</v>
      </c>
      <c r="F101" s="14" t="s">
        <v>111</v>
      </c>
      <c r="G101" s="17" t="s">
        <v>109</v>
      </c>
      <c r="H101" s="17" t="s">
        <v>123</v>
      </c>
      <c r="I101" s="15"/>
      <c r="J101" s="12" t="s">
        <v>106</v>
      </c>
      <c r="K101" s="16" t="n">
        <v>111</v>
      </c>
      <c r="L101" s="15" t="s">
        <v>124</v>
      </c>
    </row>
    <row r="102" customFormat="false" ht="26.85" hidden="false" customHeight="false" outlineLevel="0" collapsed="false">
      <c r="A102" s="11" t="n">
        <v>8</v>
      </c>
      <c r="B102" s="12" t="str">
        <f aca="false">$B$92</f>
        <v>第　条　第　項</v>
      </c>
      <c r="C102" s="12" t="n">
        <v>10</v>
      </c>
      <c r="D102" s="13" t="n">
        <v>46276</v>
      </c>
      <c r="E102" s="12" t="str">
        <f aca="false">MID("日月火水木金土",WEEKDAY(D102),1)</f>
        <v>金</v>
      </c>
      <c r="F102" s="14" t="s">
        <v>111</v>
      </c>
      <c r="G102" s="17" t="s">
        <v>109</v>
      </c>
      <c r="H102" s="17" t="s">
        <v>127</v>
      </c>
      <c r="I102" s="15"/>
      <c r="J102" s="12" t="s">
        <v>23</v>
      </c>
      <c r="K102" s="16" t="n">
        <v>112</v>
      </c>
      <c r="L102" s="15" t="s">
        <v>124</v>
      </c>
    </row>
    <row r="103" customFormat="false" ht="26.85" hidden="false" customHeight="false" outlineLevel="0" collapsed="false">
      <c r="A103" s="11" t="n">
        <v>8</v>
      </c>
      <c r="B103" s="12" t="str">
        <f aca="false">$B$92</f>
        <v>第　条　第　項</v>
      </c>
      <c r="C103" s="12" t="n">
        <v>11</v>
      </c>
      <c r="D103" s="13" t="n">
        <v>46279</v>
      </c>
      <c r="E103" s="12" t="str">
        <f aca="false">MID("日月火水木金土",WEEKDAY(D103),1)</f>
        <v>月</v>
      </c>
      <c r="F103" s="14" t="s">
        <v>111</v>
      </c>
      <c r="G103" s="17" t="s">
        <v>109</v>
      </c>
      <c r="H103" s="17" t="s">
        <v>123</v>
      </c>
      <c r="I103" s="15"/>
      <c r="J103" s="12" t="s">
        <v>23</v>
      </c>
      <c r="K103" s="16" t="n">
        <v>113</v>
      </c>
      <c r="L103" s="15" t="s">
        <v>124</v>
      </c>
    </row>
    <row r="104" customFormat="false" ht="26.85" hidden="false" customHeight="false" outlineLevel="0" collapsed="false">
      <c r="A104" s="11" t="n">
        <v>8</v>
      </c>
      <c r="B104" s="12" t="str">
        <f aca="false">$B$92</f>
        <v>第　条　第　項</v>
      </c>
      <c r="C104" s="12" t="n">
        <v>12</v>
      </c>
      <c r="D104" s="13" t="n">
        <v>46280</v>
      </c>
      <c r="E104" s="12" t="str">
        <f aca="false">MID("日月火水木金土",WEEKDAY(D104),1)</f>
        <v>火</v>
      </c>
      <c r="F104" s="14" t="s">
        <v>111</v>
      </c>
      <c r="G104" s="17" t="s">
        <v>109</v>
      </c>
      <c r="H104" s="17" t="s">
        <v>125</v>
      </c>
      <c r="I104" s="15"/>
      <c r="J104" s="12" t="s">
        <v>23</v>
      </c>
      <c r="K104" s="16" t="n">
        <v>114</v>
      </c>
      <c r="L104" s="15" t="s">
        <v>124</v>
      </c>
    </row>
    <row r="105" customFormat="false" ht="26.85" hidden="false" customHeight="false" outlineLevel="0" collapsed="false">
      <c r="A105" s="11" t="n">
        <v>8</v>
      </c>
      <c r="B105" s="12" t="str">
        <f aca="false">$B$92</f>
        <v>第　条　第　項</v>
      </c>
      <c r="C105" s="12" t="n">
        <v>13</v>
      </c>
      <c r="D105" s="13" t="n">
        <v>46281</v>
      </c>
      <c r="E105" s="12" t="str">
        <f aca="false">MID("日月火水木金土",WEEKDAY(D105),1)</f>
        <v>水</v>
      </c>
      <c r="F105" s="14" t="s">
        <v>111</v>
      </c>
      <c r="G105" s="17" t="s">
        <v>109</v>
      </c>
      <c r="H105" s="17" t="s">
        <v>125</v>
      </c>
      <c r="I105" s="15"/>
      <c r="J105" s="12" t="s">
        <v>23</v>
      </c>
      <c r="K105" s="16" t="n">
        <v>115</v>
      </c>
      <c r="L105" s="15" t="s">
        <v>124</v>
      </c>
    </row>
    <row r="106" customFormat="false" ht="26.85" hidden="false" customHeight="false" outlineLevel="0" collapsed="false">
      <c r="A106" s="11" t="n">
        <v>8</v>
      </c>
      <c r="B106" s="12" t="str">
        <f aca="false">$B$92</f>
        <v>第　条　第　項</v>
      </c>
      <c r="C106" s="12" t="n">
        <v>14</v>
      </c>
      <c r="D106" s="13" t="n">
        <v>46282</v>
      </c>
      <c r="E106" s="12" t="str">
        <f aca="false">MID("日月火水木金土",WEEKDAY(D106),1)</f>
        <v>木</v>
      </c>
      <c r="F106" s="14" t="s">
        <v>111</v>
      </c>
      <c r="G106" s="17" t="s">
        <v>109</v>
      </c>
      <c r="H106" s="17" t="s">
        <v>123</v>
      </c>
      <c r="I106" s="15"/>
      <c r="J106" s="12" t="s">
        <v>23</v>
      </c>
      <c r="K106" s="16" t="n">
        <v>116</v>
      </c>
      <c r="L106" s="15" t="s">
        <v>124</v>
      </c>
    </row>
    <row r="107" customFormat="false" ht="26.85" hidden="false" customHeight="false" outlineLevel="0" collapsed="false">
      <c r="A107" s="11" t="n">
        <v>8</v>
      </c>
      <c r="B107" s="12" t="str">
        <f aca="false">$B$92</f>
        <v>第　条　第　項</v>
      </c>
      <c r="C107" s="12" t="n">
        <v>15</v>
      </c>
      <c r="D107" s="13" t="n">
        <v>46283</v>
      </c>
      <c r="E107" s="12" t="str">
        <f aca="false">MID("日月火水木金土",WEEKDAY(D107),1)</f>
        <v>金</v>
      </c>
      <c r="F107" s="14" t="s">
        <v>111</v>
      </c>
      <c r="G107" s="17" t="s">
        <v>109</v>
      </c>
      <c r="H107" s="17" t="s">
        <v>123</v>
      </c>
      <c r="I107" s="15"/>
      <c r="J107" s="12" t="s">
        <v>23</v>
      </c>
      <c r="K107" s="16" t="n">
        <v>117</v>
      </c>
      <c r="L107" s="15" t="s">
        <v>124</v>
      </c>
    </row>
    <row r="108" customFormat="false" ht="26.85" hidden="false" customHeight="false" outlineLevel="0" collapsed="false">
      <c r="A108" s="11" t="n">
        <v>8</v>
      </c>
      <c r="B108" s="12" t="str">
        <f aca="false">$B$92</f>
        <v>第　条　第　項</v>
      </c>
      <c r="C108" s="12" t="n">
        <v>16</v>
      </c>
      <c r="D108" s="13" t="n">
        <v>46289</v>
      </c>
      <c r="E108" s="12" t="str">
        <f aca="false">MID("日月火水木金土",WEEKDAY(D108),1)</f>
        <v>木</v>
      </c>
      <c r="F108" s="14" t="s">
        <v>111</v>
      </c>
      <c r="G108" s="17" t="s">
        <v>109</v>
      </c>
      <c r="H108" s="17" t="s">
        <v>125</v>
      </c>
      <c r="I108" s="15"/>
      <c r="J108" s="12" t="s">
        <v>23</v>
      </c>
      <c r="K108" s="16" t="n">
        <v>118</v>
      </c>
      <c r="L108" s="15" t="s">
        <v>124</v>
      </c>
    </row>
    <row r="109" customFormat="false" ht="26.85" hidden="false" customHeight="false" outlineLevel="0" collapsed="false">
      <c r="A109" s="11" t="n">
        <v>8</v>
      </c>
      <c r="B109" s="12" t="str">
        <f aca="false">$B$92</f>
        <v>第　条　第　項</v>
      </c>
      <c r="C109" s="12" t="n">
        <v>17</v>
      </c>
      <c r="D109" s="13" t="n">
        <v>46290</v>
      </c>
      <c r="E109" s="12" t="str">
        <f aca="false">MID("日月火水木金土",WEEKDAY(D109),1)</f>
        <v>金</v>
      </c>
      <c r="F109" s="14" t="s">
        <v>111</v>
      </c>
      <c r="G109" s="17" t="s">
        <v>109</v>
      </c>
      <c r="H109" s="17" t="s">
        <v>125</v>
      </c>
      <c r="I109" s="15"/>
      <c r="J109" s="12" t="s">
        <v>23</v>
      </c>
      <c r="K109" s="16" t="n">
        <v>119</v>
      </c>
      <c r="L109" s="15" t="s">
        <v>124</v>
      </c>
    </row>
    <row r="110" customFormat="false" ht="15" hidden="false" customHeight="false" outlineLevel="0" collapsed="false">
      <c r="A110" s="11" t="n">
        <v>8</v>
      </c>
      <c r="B110" s="12" t="str">
        <f aca="false">$B$92</f>
        <v>第　条　第　項</v>
      </c>
      <c r="C110" s="12" t="n">
        <v>18</v>
      </c>
      <c r="D110" s="13" t="n">
        <v>46290</v>
      </c>
      <c r="E110" s="12" t="str">
        <f aca="false">MID("日月火水木金土",WEEKDAY(D110),1)</f>
        <v>金</v>
      </c>
      <c r="F110" s="14" t="s">
        <v>26</v>
      </c>
      <c r="G110" s="17" t="s">
        <v>109</v>
      </c>
      <c r="H110" s="15" t="s">
        <v>128</v>
      </c>
      <c r="I110" s="15"/>
      <c r="J110" s="12" t="s">
        <v>23</v>
      </c>
      <c r="K110" s="16" t="n">
        <v>119</v>
      </c>
      <c r="L110" s="15"/>
    </row>
    <row r="111" customFormat="false" ht="15" hidden="false" customHeight="false" outlineLevel="0" collapsed="false">
      <c r="A111" s="11" t="n">
        <v>8</v>
      </c>
      <c r="B111" s="12" t="str">
        <f aca="false">$B$92</f>
        <v>第　条　第　項</v>
      </c>
      <c r="C111" s="12" t="n">
        <v>19</v>
      </c>
      <c r="D111" s="13" t="n">
        <v>46290</v>
      </c>
      <c r="E111" s="12" t="str">
        <f aca="false">MID("日月火水木金土",WEEKDAY(D111),1)</f>
        <v>金</v>
      </c>
      <c r="F111" s="14" t="s">
        <v>37</v>
      </c>
      <c r="G111" s="17" t="s">
        <v>109</v>
      </c>
      <c r="H111" s="15" t="s">
        <v>128</v>
      </c>
      <c r="I111" s="15"/>
      <c r="J111" s="12" t="s">
        <v>23</v>
      </c>
      <c r="K111" s="16" t="n">
        <v>119</v>
      </c>
      <c r="L111" s="15"/>
    </row>
    <row r="112" customFormat="false" ht="26.85" hidden="false" customHeight="false" outlineLevel="0" collapsed="false">
      <c r="A112" s="11" t="n">
        <v>8</v>
      </c>
      <c r="B112" s="12" t="str">
        <f aca="false">$B$92</f>
        <v>第　条　第　項</v>
      </c>
      <c r="C112" s="12" t="n">
        <v>20</v>
      </c>
      <c r="D112" s="13" t="n">
        <v>46293</v>
      </c>
      <c r="E112" s="12" t="str">
        <f aca="false">MID("日月火水木金土",WEEKDAY(D112),1)</f>
        <v>月</v>
      </c>
      <c r="F112" s="14" t="s">
        <v>111</v>
      </c>
      <c r="G112" s="17" t="s">
        <v>109</v>
      </c>
      <c r="H112" s="17" t="s">
        <v>125</v>
      </c>
      <c r="I112" s="15"/>
      <c r="J112" s="12" t="s">
        <v>129</v>
      </c>
      <c r="K112" s="16" t="n">
        <v>120</v>
      </c>
      <c r="L112" s="15" t="s">
        <v>124</v>
      </c>
    </row>
    <row r="113" customFormat="false" ht="15" hidden="false" customHeight="false" outlineLevel="0" collapsed="false">
      <c r="A113" s="11" t="n">
        <v>8</v>
      </c>
      <c r="B113" s="12" t="str">
        <f aca="false">$B$92</f>
        <v>第　条　第　項</v>
      </c>
      <c r="C113" s="12" t="n">
        <v>21</v>
      </c>
      <c r="D113" s="13" t="n">
        <v>46293</v>
      </c>
      <c r="E113" s="12" t="str">
        <f aca="false">MID("日月火水木金土",WEEKDAY(D113),1)</f>
        <v>月</v>
      </c>
      <c r="F113" s="14" t="s">
        <v>26</v>
      </c>
      <c r="G113" s="17" t="s">
        <v>109</v>
      </c>
      <c r="H113" s="15" t="s">
        <v>128</v>
      </c>
      <c r="I113" s="15"/>
      <c r="J113" s="12" t="s">
        <v>23</v>
      </c>
      <c r="K113" s="16" t="n">
        <v>120</v>
      </c>
      <c r="L113" s="15"/>
    </row>
    <row r="114" customFormat="false" ht="15" hidden="false" customHeight="false" outlineLevel="0" collapsed="false">
      <c r="A114" s="11" t="n">
        <v>8</v>
      </c>
      <c r="B114" s="12" t="str">
        <f aca="false">$B$92</f>
        <v>第　条　第　項</v>
      </c>
      <c r="C114" s="12" t="n">
        <v>22</v>
      </c>
      <c r="D114" s="13" t="n">
        <v>46293</v>
      </c>
      <c r="E114" s="12" t="str">
        <f aca="false">MID("日月火水木金土",WEEKDAY(D114),1)</f>
        <v>月</v>
      </c>
      <c r="F114" s="14" t="s">
        <v>31</v>
      </c>
      <c r="G114" s="17" t="s">
        <v>109</v>
      </c>
      <c r="H114" s="15" t="s">
        <v>128</v>
      </c>
      <c r="I114" s="15"/>
      <c r="J114" s="12" t="s">
        <v>23</v>
      </c>
      <c r="K114" s="16" t="n">
        <v>120</v>
      </c>
      <c r="L114" s="15"/>
    </row>
    <row r="115" customFormat="false" ht="26.85" hidden="false" customHeight="false" outlineLevel="0" collapsed="false">
      <c r="A115" s="11" t="n">
        <v>8</v>
      </c>
      <c r="B115" s="12" t="str">
        <f aca="false">$B$92</f>
        <v>第　条　第　項</v>
      </c>
      <c r="C115" s="12" t="n">
        <v>23</v>
      </c>
      <c r="D115" s="13" t="n">
        <v>46294</v>
      </c>
      <c r="E115" s="12" t="str">
        <f aca="false">MID("日月火水木金土",WEEKDAY(D115),1)</f>
        <v>火</v>
      </c>
      <c r="F115" s="14" t="s">
        <v>35</v>
      </c>
      <c r="G115" s="17" t="s">
        <v>109</v>
      </c>
      <c r="H115" s="17" t="s">
        <v>130</v>
      </c>
      <c r="I115" s="15"/>
      <c r="J115" s="12" t="s">
        <v>23</v>
      </c>
      <c r="K115" s="16" t="n">
        <v>121</v>
      </c>
      <c r="L115" s="15" t="s">
        <v>124</v>
      </c>
    </row>
    <row r="116" customFormat="false" ht="26.85" hidden="false" customHeight="false" outlineLevel="0" collapsed="false">
      <c r="A116" s="11" t="n">
        <v>8</v>
      </c>
      <c r="B116" s="12" t="str">
        <f aca="false">$B$92</f>
        <v>第　条　第　項</v>
      </c>
      <c r="C116" s="12" t="n">
        <v>24</v>
      </c>
      <c r="D116" s="13" t="n">
        <v>46295</v>
      </c>
      <c r="E116" s="12" t="str">
        <f aca="false">MID("日月火水木金土",WEEKDAY(D116),1)</f>
        <v>水</v>
      </c>
      <c r="F116" s="14" t="s">
        <v>111</v>
      </c>
      <c r="G116" s="17" t="s">
        <v>109</v>
      </c>
      <c r="H116" s="17" t="s">
        <v>123</v>
      </c>
      <c r="I116" s="15"/>
      <c r="J116" s="12" t="s">
        <v>23</v>
      </c>
      <c r="K116" s="16" t="n">
        <v>122</v>
      </c>
      <c r="L116" s="15" t="s">
        <v>124</v>
      </c>
    </row>
    <row r="118" customFormat="false" ht="15" hidden="false" customHeight="false" outlineLevel="0" collapsed="false">
      <c r="A118" s="18" t="s">
        <v>131</v>
      </c>
    </row>
    <row r="119" customFormat="false" ht="15" hidden="false" customHeight="false" outlineLevel="0" collapsed="false">
      <c r="A119" s="19" t="s">
        <v>132</v>
      </c>
    </row>
  </sheetData>
  <mergeCells count="15">
    <mergeCell ref="A1:L1"/>
    <mergeCell ref="A3:B3"/>
    <mergeCell ref="C3:L3"/>
    <mergeCell ref="A4:B4"/>
    <mergeCell ref="C4:L4"/>
    <mergeCell ref="A5:B5"/>
    <mergeCell ref="C5:L5"/>
    <mergeCell ref="C8:H8"/>
    <mergeCell ref="C23:H23"/>
    <mergeCell ref="C34:H34"/>
    <mergeCell ref="C40:H40"/>
    <mergeCell ref="C63:H63"/>
    <mergeCell ref="C74:H74"/>
    <mergeCell ref="C84:H84"/>
    <mergeCell ref="C92:H92"/>
  </mergeCells>
  <printOptions headings="false" gridLines="false" gridLinesSet="true" horizontalCentered="fals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22" min="4" style="0" width="5"/>
    <col collapsed="false" customWidth="true" hidden="false" outlineLevel="0" max="24" min="23" style="0" width="8"/>
  </cols>
  <sheetData>
    <row r="1" customFormat="false" ht="19.4" hidden="false" customHeight="false" outlineLevel="0" collapsed="false">
      <c r="A1" s="20" t="s">
        <v>133</v>
      </c>
    </row>
    <row r="2" customFormat="false" ht="15" hidden="false" customHeight="false" outlineLevel="0" collapsed="false">
      <c r="A2" s="18" t="s">
        <v>134</v>
      </c>
    </row>
    <row r="4" customFormat="false" ht="15" hidden="false" customHeight="true" outlineLevel="0" collapsed="false">
      <c r="A4" s="21" t="s">
        <v>7</v>
      </c>
      <c r="B4" s="21" t="s">
        <v>8</v>
      </c>
      <c r="C4" s="21" t="s">
        <v>135</v>
      </c>
      <c r="D4" s="22" t="n">
        <v>46266</v>
      </c>
      <c r="E4" s="22" t="n">
        <v>46267</v>
      </c>
      <c r="F4" s="22" t="n">
        <v>46268</v>
      </c>
      <c r="G4" s="22" t="n">
        <v>46269</v>
      </c>
      <c r="H4" s="22" t="n">
        <v>46272</v>
      </c>
      <c r="I4" s="22" t="n">
        <v>46273</v>
      </c>
      <c r="J4" s="22" t="n">
        <v>46274</v>
      </c>
      <c r="K4" s="22" t="n">
        <v>46275</v>
      </c>
      <c r="L4" s="22" t="n">
        <v>46276</v>
      </c>
      <c r="M4" s="22" t="n">
        <v>46279</v>
      </c>
      <c r="N4" s="22" t="n">
        <v>46280</v>
      </c>
      <c r="O4" s="22" t="n">
        <v>46281</v>
      </c>
      <c r="P4" s="22" t="n">
        <v>46282</v>
      </c>
      <c r="Q4" s="22" t="n">
        <v>46283</v>
      </c>
      <c r="R4" s="22" t="n">
        <v>46289</v>
      </c>
      <c r="S4" s="22" t="n">
        <v>46290</v>
      </c>
      <c r="T4" s="22" t="n">
        <v>46293</v>
      </c>
      <c r="U4" s="22" t="n">
        <v>46294</v>
      </c>
      <c r="V4" s="22" t="n">
        <v>46295</v>
      </c>
      <c r="W4" s="21" t="s">
        <v>136</v>
      </c>
      <c r="X4" s="21" t="s">
        <v>19</v>
      </c>
    </row>
    <row r="5" customFormat="false" ht="15" hidden="false" customHeight="false" outlineLevel="0" collapsed="false">
      <c r="A5" s="21"/>
      <c r="B5" s="21"/>
      <c r="C5" s="21"/>
      <c r="D5" s="21" t="str">
        <f aca="false">MID("日月火水木金土",WEEKDAY(D4),1)</f>
        <v>火</v>
      </c>
      <c r="E5" s="21" t="str">
        <f aca="false">MID("日月火水木金土",WEEKDAY(E4),1)</f>
        <v>水</v>
      </c>
      <c r="F5" s="21" t="str">
        <f aca="false">MID("日月火水木金土",WEEKDAY(F4),1)</f>
        <v>木</v>
      </c>
      <c r="G5" s="21" t="str">
        <f aca="false">MID("日月火水木金土",WEEKDAY(G4),1)</f>
        <v>金</v>
      </c>
      <c r="H5" s="21" t="str">
        <f aca="false">MID("日月火水木金土",WEEKDAY(H4),1)</f>
        <v>月</v>
      </c>
      <c r="I5" s="21" t="str">
        <f aca="false">MID("日月火水木金土",WEEKDAY(I4),1)</f>
        <v>火</v>
      </c>
      <c r="J5" s="21" t="str">
        <f aca="false">MID("日月火水木金土",WEEKDAY(J4),1)</f>
        <v>水</v>
      </c>
      <c r="K5" s="21" t="str">
        <f aca="false">MID("日月火水木金土",WEEKDAY(K4),1)</f>
        <v>木</v>
      </c>
      <c r="L5" s="21" t="str">
        <f aca="false">MID("日月火水木金土",WEEKDAY(L4),1)</f>
        <v>金</v>
      </c>
      <c r="M5" s="21" t="str">
        <f aca="false">MID("日月火水木金土",WEEKDAY(M4),1)</f>
        <v>月</v>
      </c>
      <c r="N5" s="21" t="str">
        <f aca="false">MID("日月火水木金土",WEEKDAY(N4),1)</f>
        <v>火</v>
      </c>
      <c r="O5" s="21" t="str">
        <f aca="false">MID("日月火水木金土",WEEKDAY(O4),1)</f>
        <v>水</v>
      </c>
      <c r="P5" s="21" t="str">
        <f aca="false">MID("日月火水木金土",WEEKDAY(P4),1)</f>
        <v>木</v>
      </c>
      <c r="Q5" s="21" t="str">
        <f aca="false">MID("日月火水木金土",WEEKDAY(Q4),1)</f>
        <v>金</v>
      </c>
      <c r="R5" s="21" t="str">
        <f aca="false">MID("日月火水木金土",WEEKDAY(R4),1)</f>
        <v>木</v>
      </c>
      <c r="S5" s="21" t="str">
        <f aca="false">MID("日月火水木金土",WEEKDAY(S4),1)</f>
        <v>金</v>
      </c>
      <c r="T5" s="21" t="str">
        <f aca="false">MID("日月火水木金土",WEEKDAY(T4),1)</f>
        <v>月</v>
      </c>
      <c r="U5" s="21" t="str">
        <f aca="false">MID("日月火水木金土",WEEKDAY(U4),1)</f>
        <v>火</v>
      </c>
      <c r="V5" s="21" t="str">
        <f aca="false">MID("日月火水木金土",WEEKDAY(V4),1)</f>
        <v>水</v>
      </c>
      <c r="W5" s="21"/>
      <c r="X5" s="21"/>
    </row>
    <row r="6" customFormat="false" ht="15" hidden="false" customHeight="false" outlineLevel="0" collapsed="false">
      <c r="A6" s="23" t="n">
        <v>1</v>
      </c>
      <c r="B6" s="23" t="str">
        <f aca="false">INDEX(条文マスタ!$B$5:$B$12,MATCH($A6,条文マスタ!$A$5:$A$12,0))</f>
        <v>第　条　第　項</v>
      </c>
      <c r="C6" s="24" t="str">
        <f aca="false">INDEX(条文マスタ!$C$5:$C$12,MATCH($A6,条文マスタ!$A$5:$A$12,0))</f>
        <v>設計図書の照査・数量確認</v>
      </c>
      <c r="D6" s="25" t="n">
        <f aca="false">COUNTIFS(条文別整理表!$A$8:$A$116,$A6,条文別整理表!$D$8:$D$116,D$4,条文別整理表!$C$8:$C$116,"&gt;0")</f>
        <v>2</v>
      </c>
      <c r="E6" s="25" t="n">
        <f aca="false">COUNTIFS(条文別整理表!$A$8:$A$116,$A6,条文別整理表!$D$8:$D$116,E$4,条文別整理表!$C$8:$C$116,"&gt;0")</f>
        <v>3</v>
      </c>
      <c r="F6" s="25" t="n">
        <f aca="false">COUNTIFS(条文別整理表!$A$8:$A$116,$A6,条文別整理表!$D$8:$D$116,F$4,条文別整理表!$C$8:$C$116,"&gt;0")</f>
        <v>0</v>
      </c>
      <c r="G6" s="25" t="n">
        <f aca="false">COUNTIFS(条文別整理表!$A$8:$A$116,$A6,条文別整理表!$D$8:$D$116,G$4,条文別整理表!$C$8:$C$116,"&gt;0")</f>
        <v>3</v>
      </c>
      <c r="H6" s="25" t="n">
        <f aca="false">COUNTIFS(条文別整理表!$A$8:$A$116,$A6,条文別整理表!$D$8:$D$116,H$4,条文別整理表!$C$8:$C$116,"&gt;0")</f>
        <v>0</v>
      </c>
      <c r="I6" s="25" t="n">
        <f aca="false">COUNTIFS(条文別整理表!$A$8:$A$116,$A6,条文別整理表!$D$8:$D$116,I$4,条文別整理表!$C$8:$C$116,"&gt;0")</f>
        <v>1</v>
      </c>
      <c r="J6" s="25" t="n">
        <f aca="false">COUNTIFS(条文別整理表!$A$8:$A$116,$A6,条文別整理表!$D$8:$D$116,J$4,条文別整理表!$C$8:$C$116,"&gt;0")</f>
        <v>1</v>
      </c>
      <c r="K6" s="25" t="n">
        <f aca="false">COUNTIFS(条文別整理表!$A$8:$A$116,$A6,条文別整理表!$D$8:$D$116,K$4,条文別整理表!$C$8:$C$116,"&gt;0")</f>
        <v>2</v>
      </c>
      <c r="L6" s="25" t="n">
        <f aca="false">COUNTIFS(条文別整理表!$A$8:$A$116,$A6,条文別整理表!$D$8:$D$116,L$4,条文別整理表!$C$8:$C$116,"&gt;0")</f>
        <v>0</v>
      </c>
      <c r="M6" s="25" t="n">
        <f aca="false">COUNTIFS(条文別整理表!$A$8:$A$116,$A6,条文別整理表!$D$8:$D$116,M$4,条文別整理表!$C$8:$C$116,"&gt;0")</f>
        <v>0</v>
      </c>
      <c r="N6" s="25" t="n">
        <f aca="false">COUNTIFS(条文別整理表!$A$8:$A$116,$A6,条文別整理表!$D$8:$D$116,N$4,条文別整理表!$C$8:$C$116,"&gt;0")</f>
        <v>2</v>
      </c>
      <c r="O6" s="25" t="n">
        <f aca="false">COUNTIFS(条文別整理表!$A$8:$A$116,$A6,条文別整理表!$D$8:$D$116,O$4,条文別整理表!$C$8:$C$116,"&gt;0")</f>
        <v>0</v>
      </c>
      <c r="P6" s="25" t="n">
        <f aca="false">COUNTIFS(条文別整理表!$A$8:$A$116,$A6,条文別整理表!$D$8:$D$116,P$4,条文別整理表!$C$8:$C$116,"&gt;0")</f>
        <v>0</v>
      </c>
      <c r="Q6" s="25" t="n">
        <f aca="false">COUNTIFS(条文別整理表!$A$8:$A$116,$A6,条文別整理表!$D$8:$D$116,Q$4,条文別整理表!$C$8:$C$116,"&gt;0")</f>
        <v>0</v>
      </c>
      <c r="R6" s="25" t="n">
        <f aca="false">COUNTIFS(条文別整理表!$A$8:$A$116,$A6,条文別整理表!$D$8:$D$116,R$4,条文別整理表!$C$8:$C$116,"&gt;0")</f>
        <v>0</v>
      </c>
      <c r="S6" s="25" t="n">
        <f aca="false">COUNTIFS(条文別整理表!$A$8:$A$116,$A6,条文別整理表!$D$8:$D$116,S$4,条文別整理表!$C$8:$C$116,"&gt;0")</f>
        <v>0</v>
      </c>
      <c r="T6" s="25" t="n">
        <f aca="false">COUNTIFS(条文別整理表!$A$8:$A$116,$A6,条文別整理表!$D$8:$D$116,T$4,条文別整理表!$C$8:$C$116,"&gt;0")</f>
        <v>0</v>
      </c>
      <c r="U6" s="25" t="n">
        <f aca="false">COUNTIFS(条文別整理表!$A$8:$A$116,$A6,条文別整理表!$D$8:$D$116,U$4,条文別整理表!$C$8:$C$116,"&gt;0")</f>
        <v>0</v>
      </c>
      <c r="V6" s="25" t="n">
        <f aca="false">COUNTIFS(条文別整理表!$A$8:$A$116,$A6,条文別整理表!$D$8:$D$116,V$4,条文別整理表!$C$8:$C$116,"&gt;0")</f>
        <v>0</v>
      </c>
      <c r="W6" s="23" t="n">
        <f aca="false">SUM(D6:V6)</f>
        <v>14</v>
      </c>
      <c r="X6" s="23" t="n">
        <f aca="false">COUNTIF(D6:V6,"&gt;0")</f>
        <v>7</v>
      </c>
    </row>
    <row r="7" customFormat="false" ht="15" hidden="false" customHeight="false" outlineLevel="0" collapsed="false">
      <c r="A7" s="23" t="n">
        <v>2</v>
      </c>
      <c r="B7" s="23" t="str">
        <f aca="false">INDEX(条文マスタ!$B$5:$B$12,MATCH($A7,条文マスタ!$A$5:$A$12,0))</f>
        <v>第　条　第　項</v>
      </c>
      <c r="C7" s="24" t="str">
        <f aca="false">INDEX(条文マスタ!$C$5:$C$12,MATCH($A7,条文マスタ!$A$5:$A$12,0))</f>
        <v>施工計画書等の確認</v>
      </c>
      <c r="D7" s="25" t="n">
        <f aca="false">COUNTIFS(条文別整理表!$A$8:$A$116,$A7,条文別整理表!$D$8:$D$116,D$4,条文別整理表!$C$8:$C$116,"&gt;0")</f>
        <v>0</v>
      </c>
      <c r="E7" s="25" t="n">
        <f aca="false">COUNTIFS(条文別整理表!$A$8:$A$116,$A7,条文別整理表!$D$8:$D$116,E$4,条文別整理表!$C$8:$C$116,"&gt;0")</f>
        <v>0</v>
      </c>
      <c r="F7" s="25" t="n">
        <f aca="false">COUNTIFS(条文別整理表!$A$8:$A$116,$A7,条文別整理表!$D$8:$D$116,F$4,条文別整理表!$C$8:$C$116,"&gt;0")</f>
        <v>0</v>
      </c>
      <c r="G7" s="25" t="n">
        <f aca="false">COUNTIFS(条文別整理表!$A$8:$A$116,$A7,条文別整理表!$D$8:$D$116,G$4,条文別整理表!$C$8:$C$116,"&gt;0")</f>
        <v>0</v>
      </c>
      <c r="H7" s="25" t="n">
        <f aca="false">COUNTIFS(条文別整理表!$A$8:$A$116,$A7,条文別整理表!$D$8:$D$116,H$4,条文別整理表!$C$8:$C$116,"&gt;0")</f>
        <v>1</v>
      </c>
      <c r="I7" s="25" t="n">
        <f aca="false">COUNTIFS(条文別整理表!$A$8:$A$116,$A7,条文別整理表!$D$8:$D$116,I$4,条文別整理表!$C$8:$C$116,"&gt;0")</f>
        <v>0</v>
      </c>
      <c r="J7" s="25" t="n">
        <f aca="false">COUNTIFS(条文別整理表!$A$8:$A$116,$A7,条文別整理表!$D$8:$D$116,J$4,条文別整理表!$C$8:$C$116,"&gt;0")</f>
        <v>2</v>
      </c>
      <c r="K7" s="25" t="n">
        <f aca="false">COUNTIFS(条文別整理表!$A$8:$A$116,$A7,条文別整理表!$D$8:$D$116,K$4,条文別整理表!$C$8:$C$116,"&gt;0")</f>
        <v>0</v>
      </c>
      <c r="L7" s="25" t="n">
        <f aca="false">COUNTIFS(条文別整理表!$A$8:$A$116,$A7,条文別整理表!$D$8:$D$116,L$4,条文別整理表!$C$8:$C$116,"&gt;0")</f>
        <v>0</v>
      </c>
      <c r="M7" s="25" t="n">
        <f aca="false">COUNTIFS(条文別整理表!$A$8:$A$116,$A7,条文別整理表!$D$8:$D$116,M$4,条文別整理表!$C$8:$C$116,"&gt;0")</f>
        <v>2</v>
      </c>
      <c r="N7" s="25" t="n">
        <f aca="false">COUNTIFS(条文別整理表!$A$8:$A$116,$A7,条文別整理表!$D$8:$D$116,N$4,条文別整理表!$C$8:$C$116,"&gt;0")</f>
        <v>2</v>
      </c>
      <c r="O7" s="25" t="n">
        <f aca="false">COUNTIFS(条文別整理表!$A$8:$A$116,$A7,条文別整理表!$D$8:$D$116,O$4,条文別整理表!$C$8:$C$116,"&gt;0")</f>
        <v>2</v>
      </c>
      <c r="P7" s="25" t="n">
        <f aca="false">COUNTIFS(条文別整理表!$A$8:$A$116,$A7,条文別整理表!$D$8:$D$116,P$4,条文別整理表!$C$8:$C$116,"&gt;0")</f>
        <v>0</v>
      </c>
      <c r="Q7" s="25" t="n">
        <f aca="false">COUNTIFS(条文別整理表!$A$8:$A$116,$A7,条文別整理表!$D$8:$D$116,Q$4,条文別整理表!$C$8:$C$116,"&gt;0")</f>
        <v>0</v>
      </c>
      <c r="R7" s="25" t="n">
        <f aca="false">COUNTIFS(条文別整理表!$A$8:$A$116,$A7,条文別整理表!$D$8:$D$116,R$4,条文別整理表!$C$8:$C$116,"&gt;0")</f>
        <v>0</v>
      </c>
      <c r="S7" s="25" t="n">
        <f aca="false">COUNTIFS(条文別整理表!$A$8:$A$116,$A7,条文別整理表!$D$8:$D$116,S$4,条文別整理表!$C$8:$C$116,"&gt;0")</f>
        <v>0</v>
      </c>
      <c r="T7" s="25" t="n">
        <f aca="false">COUNTIFS(条文別整理表!$A$8:$A$116,$A7,条文別整理表!$D$8:$D$116,T$4,条文別整理表!$C$8:$C$116,"&gt;0")</f>
        <v>1</v>
      </c>
      <c r="U7" s="25" t="n">
        <f aca="false">COUNTIFS(条文別整理表!$A$8:$A$116,$A7,条文別整理表!$D$8:$D$116,U$4,条文別整理表!$C$8:$C$116,"&gt;0")</f>
        <v>0</v>
      </c>
      <c r="V7" s="25" t="n">
        <f aca="false">COUNTIFS(条文別整理表!$A$8:$A$116,$A7,条文別整理表!$D$8:$D$116,V$4,条文別整理表!$C$8:$C$116,"&gt;0")</f>
        <v>0</v>
      </c>
      <c r="W7" s="23" t="n">
        <f aca="false">SUM(D7:V7)</f>
        <v>10</v>
      </c>
      <c r="X7" s="23" t="n">
        <f aca="false">COUNTIF(D7:V7,"&gt;0")</f>
        <v>6</v>
      </c>
    </row>
    <row r="8" customFormat="false" ht="15" hidden="false" customHeight="false" outlineLevel="0" collapsed="false">
      <c r="A8" s="23" t="n">
        <v>3</v>
      </c>
      <c r="B8" s="23" t="str">
        <f aca="false">INDEX(条文マスタ!$B$5:$B$12,MATCH($A8,条文マスタ!$A$5:$A$12,0))</f>
        <v>第　条　第　項</v>
      </c>
      <c r="C8" s="24" t="str">
        <f aca="false">INDEX(条文マスタ!$C$5:$C$12,MATCH($A8,条文マスタ!$A$5:$A$12,0))</f>
        <v>現場立会・現場調査</v>
      </c>
      <c r="D8" s="25" t="n">
        <f aca="false">COUNTIFS(条文別整理表!$A$8:$A$116,$A8,条文別整理表!$D$8:$D$116,D$4,条文別整理表!$C$8:$C$116,"&gt;0")</f>
        <v>0</v>
      </c>
      <c r="E8" s="25" t="n">
        <f aca="false">COUNTIFS(条文別整理表!$A$8:$A$116,$A8,条文別整理表!$D$8:$D$116,E$4,条文別整理表!$C$8:$C$116,"&gt;0")</f>
        <v>0</v>
      </c>
      <c r="F8" s="25" t="n">
        <f aca="false">COUNTIFS(条文別整理表!$A$8:$A$116,$A8,条文別整理表!$D$8:$D$116,F$4,条文別整理表!$C$8:$C$116,"&gt;0")</f>
        <v>2</v>
      </c>
      <c r="G8" s="25" t="n">
        <f aca="false">COUNTIFS(条文別整理表!$A$8:$A$116,$A8,条文別整理表!$D$8:$D$116,G$4,条文別整理表!$C$8:$C$116,"&gt;0")</f>
        <v>0</v>
      </c>
      <c r="H8" s="25" t="n">
        <f aca="false">COUNTIFS(条文別整理表!$A$8:$A$116,$A8,条文別整理表!$D$8:$D$116,H$4,条文別整理表!$C$8:$C$116,"&gt;0")</f>
        <v>1</v>
      </c>
      <c r="I8" s="25" t="n">
        <f aca="false">COUNTIFS(条文別整理表!$A$8:$A$116,$A8,条文別整理表!$D$8:$D$116,I$4,条文別整理表!$C$8:$C$116,"&gt;0")</f>
        <v>1</v>
      </c>
      <c r="J8" s="25" t="n">
        <f aca="false">COUNTIFS(条文別整理表!$A$8:$A$116,$A8,条文別整理表!$D$8:$D$116,J$4,条文別整理表!$C$8:$C$116,"&gt;0")</f>
        <v>0</v>
      </c>
      <c r="K8" s="25" t="n">
        <f aca="false">COUNTIFS(条文別整理表!$A$8:$A$116,$A8,条文別整理表!$D$8:$D$116,K$4,条文別整理表!$C$8:$C$116,"&gt;0")</f>
        <v>0</v>
      </c>
      <c r="L8" s="25" t="n">
        <f aca="false">COUNTIFS(条文別整理表!$A$8:$A$116,$A8,条文別整理表!$D$8:$D$116,L$4,条文別整理表!$C$8:$C$116,"&gt;0")</f>
        <v>0</v>
      </c>
      <c r="M8" s="25" t="n">
        <f aca="false">COUNTIFS(条文別整理表!$A$8:$A$116,$A8,条文別整理表!$D$8:$D$116,M$4,条文別整理表!$C$8:$C$116,"&gt;0")</f>
        <v>0</v>
      </c>
      <c r="N8" s="25" t="n">
        <f aca="false">COUNTIFS(条文別整理表!$A$8:$A$116,$A8,条文別整理表!$D$8:$D$116,N$4,条文別整理表!$C$8:$C$116,"&gt;0")</f>
        <v>0</v>
      </c>
      <c r="O8" s="25" t="n">
        <f aca="false">COUNTIFS(条文別整理表!$A$8:$A$116,$A8,条文別整理表!$D$8:$D$116,O$4,条文別整理表!$C$8:$C$116,"&gt;0")</f>
        <v>0</v>
      </c>
      <c r="P8" s="25" t="n">
        <f aca="false">COUNTIFS(条文別整理表!$A$8:$A$116,$A8,条文別整理表!$D$8:$D$116,P$4,条文別整理表!$C$8:$C$116,"&gt;0")</f>
        <v>0</v>
      </c>
      <c r="Q8" s="25" t="n">
        <f aca="false">COUNTIFS(条文別整理表!$A$8:$A$116,$A8,条文別整理表!$D$8:$D$116,Q$4,条文別整理表!$C$8:$C$116,"&gt;0")</f>
        <v>1</v>
      </c>
      <c r="R8" s="25" t="n">
        <f aca="false">COUNTIFS(条文別整理表!$A$8:$A$116,$A8,条文別整理表!$D$8:$D$116,R$4,条文別整理表!$C$8:$C$116,"&gt;0")</f>
        <v>0</v>
      </c>
      <c r="S8" s="25" t="n">
        <f aca="false">COUNTIFS(条文別整理表!$A$8:$A$116,$A8,条文別整理表!$D$8:$D$116,S$4,条文別整理表!$C$8:$C$116,"&gt;0")</f>
        <v>0</v>
      </c>
      <c r="T8" s="25" t="n">
        <f aca="false">COUNTIFS(条文別整理表!$A$8:$A$116,$A8,条文別整理表!$D$8:$D$116,T$4,条文別整理表!$C$8:$C$116,"&gt;0")</f>
        <v>0</v>
      </c>
      <c r="U8" s="25" t="n">
        <f aca="false">COUNTIFS(条文別整理表!$A$8:$A$116,$A8,条文別整理表!$D$8:$D$116,U$4,条文別整理表!$C$8:$C$116,"&gt;0")</f>
        <v>0</v>
      </c>
      <c r="V8" s="25" t="n">
        <f aca="false">COUNTIFS(条文別整理表!$A$8:$A$116,$A8,条文別整理表!$D$8:$D$116,V$4,条文別整理表!$C$8:$C$116,"&gt;0")</f>
        <v>0</v>
      </c>
      <c r="W8" s="23" t="n">
        <f aca="false">SUM(D8:V8)</f>
        <v>5</v>
      </c>
      <c r="X8" s="23" t="n">
        <f aca="false">COUNTIF(D8:V8,"&gt;0")</f>
        <v>4</v>
      </c>
    </row>
    <row r="9" customFormat="false" ht="15" hidden="false" customHeight="false" outlineLevel="0" collapsed="false">
      <c r="A9" s="23" t="n">
        <v>4</v>
      </c>
      <c r="B9" s="23" t="str">
        <f aca="false">INDEX(条文マスタ!$B$5:$B$12,MATCH($A9,条文マスタ!$A$5:$A$12,0))</f>
        <v>第　条　第　項</v>
      </c>
      <c r="C9" s="24" t="str">
        <f aca="false">INDEX(条文マスタ!$C$5:$C$12,MATCH($A9,条文マスタ!$A$5:$A$12,0))</f>
        <v>完成検査・下検査の立会補助</v>
      </c>
      <c r="D9" s="25" t="n">
        <f aca="false">COUNTIFS(条文別整理表!$A$8:$A$116,$A9,条文別整理表!$D$8:$D$116,D$4,条文別整理表!$C$8:$C$116,"&gt;0")</f>
        <v>1</v>
      </c>
      <c r="E9" s="25" t="n">
        <f aca="false">COUNTIFS(条文別整理表!$A$8:$A$116,$A9,条文別整理表!$D$8:$D$116,E$4,条文別整理表!$C$8:$C$116,"&gt;0")</f>
        <v>0</v>
      </c>
      <c r="F9" s="25" t="n">
        <f aca="false">COUNTIFS(条文別整理表!$A$8:$A$116,$A9,条文別整理表!$D$8:$D$116,F$4,条文別整理表!$C$8:$C$116,"&gt;0")</f>
        <v>0</v>
      </c>
      <c r="G9" s="25" t="n">
        <f aca="false">COUNTIFS(条文別整理表!$A$8:$A$116,$A9,条文別整理表!$D$8:$D$116,G$4,条文別整理表!$C$8:$C$116,"&gt;0")</f>
        <v>1</v>
      </c>
      <c r="H9" s="25" t="n">
        <f aca="false">COUNTIFS(条文別整理表!$A$8:$A$116,$A9,条文別整理表!$D$8:$D$116,H$4,条文別整理表!$C$8:$C$116,"&gt;0")</f>
        <v>2</v>
      </c>
      <c r="I9" s="25" t="n">
        <f aca="false">COUNTIFS(条文別整理表!$A$8:$A$116,$A9,条文別整理表!$D$8:$D$116,I$4,条文別整理表!$C$8:$C$116,"&gt;0")</f>
        <v>2</v>
      </c>
      <c r="J9" s="25" t="n">
        <f aca="false">COUNTIFS(条文別整理表!$A$8:$A$116,$A9,条文別整理表!$D$8:$D$116,J$4,条文別整理表!$C$8:$C$116,"&gt;0")</f>
        <v>2</v>
      </c>
      <c r="K9" s="25" t="n">
        <f aca="false">COUNTIFS(条文別整理表!$A$8:$A$116,$A9,条文別整理表!$D$8:$D$116,K$4,条文別整理表!$C$8:$C$116,"&gt;0")</f>
        <v>3</v>
      </c>
      <c r="L9" s="25" t="n">
        <f aca="false">COUNTIFS(条文別整理表!$A$8:$A$116,$A9,条文別整理表!$D$8:$D$116,L$4,条文別整理表!$C$8:$C$116,"&gt;0")</f>
        <v>2</v>
      </c>
      <c r="M9" s="25" t="n">
        <f aca="false">COUNTIFS(条文別整理表!$A$8:$A$116,$A9,条文別整理表!$D$8:$D$116,M$4,条文別整理表!$C$8:$C$116,"&gt;0")</f>
        <v>1</v>
      </c>
      <c r="N9" s="25" t="n">
        <f aca="false">COUNTIFS(条文別整理表!$A$8:$A$116,$A9,条文別整理表!$D$8:$D$116,N$4,条文別整理表!$C$8:$C$116,"&gt;0")</f>
        <v>0</v>
      </c>
      <c r="O9" s="25" t="n">
        <f aca="false">COUNTIFS(条文別整理表!$A$8:$A$116,$A9,条文別整理表!$D$8:$D$116,O$4,条文別整理表!$C$8:$C$116,"&gt;0")</f>
        <v>1</v>
      </c>
      <c r="P9" s="25" t="n">
        <f aca="false">COUNTIFS(条文別整理表!$A$8:$A$116,$A9,条文別整理表!$D$8:$D$116,P$4,条文別整理表!$C$8:$C$116,"&gt;0")</f>
        <v>2</v>
      </c>
      <c r="Q9" s="25" t="n">
        <f aca="false">COUNTIFS(条文別整理表!$A$8:$A$116,$A9,条文別整理表!$D$8:$D$116,Q$4,条文別整理表!$C$8:$C$116,"&gt;0")</f>
        <v>2</v>
      </c>
      <c r="R9" s="25" t="n">
        <f aca="false">COUNTIFS(条文別整理表!$A$8:$A$116,$A9,条文別整理表!$D$8:$D$116,R$4,条文別整理表!$C$8:$C$116,"&gt;0")</f>
        <v>0</v>
      </c>
      <c r="S9" s="25" t="n">
        <f aca="false">COUNTIFS(条文別整理表!$A$8:$A$116,$A9,条文別整理表!$D$8:$D$116,S$4,条文別整理表!$C$8:$C$116,"&gt;0")</f>
        <v>0</v>
      </c>
      <c r="T9" s="25" t="n">
        <f aca="false">COUNTIFS(条文別整理表!$A$8:$A$116,$A9,条文別整理表!$D$8:$D$116,T$4,条文別整理表!$C$8:$C$116,"&gt;0")</f>
        <v>1</v>
      </c>
      <c r="U9" s="25" t="n">
        <f aca="false">COUNTIFS(条文別整理表!$A$8:$A$116,$A9,条文別整理表!$D$8:$D$116,U$4,条文別整理表!$C$8:$C$116,"&gt;0")</f>
        <v>2</v>
      </c>
      <c r="V9" s="25" t="n">
        <f aca="false">COUNTIFS(条文別整理表!$A$8:$A$116,$A9,条文別整理表!$D$8:$D$116,V$4,条文別整理表!$C$8:$C$116,"&gt;0")</f>
        <v>0</v>
      </c>
      <c r="W9" s="23" t="n">
        <f aca="false">SUM(D9:V9)</f>
        <v>22</v>
      </c>
      <c r="X9" s="23" t="n">
        <f aca="false">COUNTIF(D9:V9,"&gt;0")</f>
        <v>13</v>
      </c>
    </row>
    <row r="10" customFormat="false" ht="15" hidden="false" customHeight="false" outlineLevel="0" collapsed="false">
      <c r="A10" s="23" t="n">
        <v>5</v>
      </c>
      <c r="B10" s="23" t="str">
        <f aca="false">INDEX(条文マスタ!$B$5:$B$12,MATCH($A10,条文マスタ!$A$5:$A$12,0))</f>
        <v>第　条　第　項</v>
      </c>
      <c r="C10" s="24" t="str">
        <f aca="false">INDEX(条文マスタ!$C$5:$C$12,MATCH($A10,条文マスタ!$A$5:$A$12,0))</f>
        <v>工事情報共有システム（ASP）の確認</v>
      </c>
      <c r="D10" s="25" t="n">
        <f aca="false">COUNTIFS(条文別整理表!$A$8:$A$116,$A10,条文別整理表!$D$8:$D$116,D$4,条文別整理表!$C$8:$C$116,"&gt;0")</f>
        <v>2</v>
      </c>
      <c r="E10" s="25" t="n">
        <f aca="false">COUNTIFS(条文別整理表!$A$8:$A$116,$A10,条文別整理表!$D$8:$D$116,E$4,条文別整理表!$C$8:$C$116,"&gt;0")</f>
        <v>1</v>
      </c>
      <c r="F10" s="25" t="n">
        <f aca="false">COUNTIFS(条文別整理表!$A$8:$A$116,$A10,条文別整理表!$D$8:$D$116,F$4,条文別整理表!$C$8:$C$116,"&gt;0")</f>
        <v>0</v>
      </c>
      <c r="G10" s="25" t="n">
        <f aca="false">COUNTIFS(条文別整理表!$A$8:$A$116,$A10,条文別整理表!$D$8:$D$116,G$4,条文別整理表!$C$8:$C$116,"&gt;0")</f>
        <v>0</v>
      </c>
      <c r="H10" s="25" t="n">
        <f aca="false">COUNTIFS(条文別整理表!$A$8:$A$116,$A10,条文別整理表!$D$8:$D$116,H$4,条文別整理表!$C$8:$C$116,"&gt;0")</f>
        <v>1</v>
      </c>
      <c r="I10" s="25" t="n">
        <f aca="false">COUNTIFS(条文別整理表!$A$8:$A$116,$A10,条文別整理表!$D$8:$D$116,I$4,条文別整理表!$C$8:$C$116,"&gt;0")</f>
        <v>2</v>
      </c>
      <c r="J10" s="25" t="n">
        <f aca="false">COUNTIFS(条文別整理表!$A$8:$A$116,$A10,条文別整理表!$D$8:$D$116,J$4,条文別整理表!$C$8:$C$116,"&gt;0")</f>
        <v>0</v>
      </c>
      <c r="K10" s="25" t="n">
        <f aca="false">COUNTIFS(条文別整理表!$A$8:$A$116,$A10,条文別整理表!$D$8:$D$116,K$4,条文別整理表!$C$8:$C$116,"&gt;0")</f>
        <v>0</v>
      </c>
      <c r="L10" s="25" t="n">
        <f aca="false">COUNTIFS(条文別整理表!$A$8:$A$116,$A10,条文別整理表!$D$8:$D$116,L$4,条文別整理表!$C$8:$C$116,"&gt;0")</f>
        <v>0</v>
      </c>
      <c r="M10" s="25" t="n">
        <f aca="false">COUNTIFS(条文別整理表!$A$8:$A$116,$A10,条文別整理表!$D$8:$D$116,M$4,条文別整理表!$C$8:$C$116,"&gt;0")</f>
        <v>1</v>
      </c>
      <c r="N10" s="25" t="n">
        <f aca="false">COUNTIFS(条文別整理表!$A$8:$A$116,$A10,条文別整理表!$D$8:$D$116,N$4,条文別整理表!$C$8:$C$116,"&gt;0")</f>
        <v>2</v>
      </c>
      <c r="O10" s="25" t="n">
        <f aca="false">COUNTIFS(条文別整理表!$A$8:$A$116,$A10,条文別整理表!$D$8:$D$116,O$4,条文別整理表!$C$8:$C$116,"&gt;0")</f>
        <v>1</v>
      </c>
      <c r="P10" s="25" t="n">
        <f aca="false">COUNTIFS(条文別整理表!$A$8:$A$116,$A10,条文別整理表!$D$8:$D$116,P$4,条文別整理表!$C$8:$C$116,"&gt;0")</f>
        <v>0</v>
      </c>
      <c r="Q10" s="25" t="n">
        <f aca="false">COUNTIFS(条文別整理表!$A$8:$A$116,$A10,条文別整理表!$D$8:$D$116,Q$4,条文別整理表!$C$8:$C$116,"&gt;0")</f>
        <v>0</v>
      </c>
      <c r="R10" s="25" t="n">
        <f aca="false">COUNTIFS(条文別整理表!$A$8:$A$116,$A10,条文別整理表!$D$8:$D$116,R$4,条文別整理表!$C$8:$C$116,"&gt;0")</f>
        <v>0</v>
      </c>
      <c r="S10" s="25" t="n">
        <f aca="false">COUNTIFS(条文別整理表!$A$8:$A$116,$A10,条文別整理表!$D$8:$D$116,S$4,条文別整理表!$C$8:$C$116,"&gt;0")</f>
        <v>0</v>
      </c>
      <c r="T10" s="25" t="n">
        <f aca="false">COUNTIFS(条文別整理表!$A$8:$A$116,$A10,条文別整理表!$D$8:$D$116,T$4,条文別整理表!$C$8:$C$116,"&gt;0")</f>
        <v>0</v>
      </c>
      <c r="U10" s="25" t="n">
        <f aca="false">COUNTIFS(条文別整理表!$A$8:$A$116,$A10,条文別整理表!$D$8:$D$116,U$4,条文別整理表!$C$8:$C$116,"&gt;0")</f>
        <v>0</v>
      </c>
      <c r="V10" s="25" t="n">
        <f aca="false">COUNTIFS(条文別整理表!$A$8:$A$116,$A10,条文別整理表!$D$8:$D$116,V$4,条文別整理表!$C$8:$C$116,"&gt;0")</f>
        <v>0</v>
      </c>
      <c r="W10" s="23" t="n">
        <f aca="false">SUM(D10:V10)</f>
        <v>10</v>
      </c>
      <c r="X10" s="23" t="n">
        <f aca="false">COUNTIF(D10:V10,"&gt;0")</f>
        <v>7</v>
      </c>
    </row>
    <row r="11" customFormat="false" ht="15" hidden="false" customHeight="false" outlineLevel="0" collapsed="false">
      <c r="A11" s="23" t="n">
        <v>6</v>
      </c>
      <c r="B11" s="23" t="str">
        <f aca="false">INDEX(条文マスタ!$B$5:$B$12,MATCH($A11,条文マスタ!$A$5:$A$12,0))</f>
        <v>第　条　第　項</v>
      </c>
      <c r="C11" s="24" t="str">
        <f aca="false">INDEX(条文マスタ!$C$5:$C$12,MATCH($A11,条文マスタ!$A$5:$A$12,0))</f>
        <v>地元・関係者調整資料の作成</v>
      </c>
      <c r="D11" s="25" t="n">
        <f aca="false">COUNTIFS(条文別整理表!$A$8:$A$116,$A11,条文別整理表!$D$8:$D$116,D$4,条文別整理表!$C$8:$C$116,"&gt;0")</f>
        <v>0</v>
      </c>
      <c r="E11" s="25" t="n">
        <f aca="false">COUNTIFS(条文別整理表!$A$8:$A$116,$A11,条文別整理表!$D$8:$D$116,E$4,条文別整理表!$C$8:$C$116,"&gt;0")</f>
        <v>0</v>
      </c>
      <c r="F11" s="25" t="n">
        <f aca="false">COUNTIFS(条文別整理表!$A$8:$A$116,$A11,条文別整理表!$D$8:$D$116,F$4,条文別整理表!$C$8:$C$116,"&gt;0")</f>
        <v>1</v>
      </c>
      <c r="G11" s="25" t="n">
        <f aca="false">COUNTIFS(条文別整理表!$A$8:$A$116,$A11,条文別整理表!$D$8:$D$116,G$4,条文別整理表!$C$8:$C$116,"&gt;0")</f>
        <v>0</v>
      </c>
      <c r="H11" s="25" t="n">
        <f aca="false">COUNTIFS(条文別整理表!$A$8:$A$116,$A11,条文別整理表!$D$8:$D$116,H$4,条文別整理表!$C$8:$C$116,"&gt;0")</f>
        <v>0</v>
      </c>
      <c r="I11" s="25" t="n">
        <f aca="false">COUNTIFS(条文別整理表!$A$8:$A$116,$A11,条文別整理表!$D$8:$D$116,I$4,条文別整理表!$C$8:$C$116,"&gt;0")</f>
        <v>0</v>
      </c>
      <c r="J11" s="25" t="n">
        <f aca="false">COUNTIFS(条文別整理表!$A$8:$A$116,$A11,条文別整理表!$D$8:$D$116,J$4,条文別整理表!$C$8:$C$116,"&gt;0")</f>
        <v>0</v>
      </c>
      <c r="K11" s="25" t="n">
        <f aca="false">COUNTIFS(条文別整理表!$A$8:$A$116,$A11,条文別整理表!$D$8:$D$116,K$4,条文別整理表!$C$8:$C$116,"&gt;0")</f>
        <v>1</v>
      </c>
      <c r="L11" s="25" t="n">
        <f aca="false">COUNTIFS(条文別整理表!$A$8:$A$116,$A11,条文別整理表!$D$8:$D$116,L$4,条文別整理表!$C$8:$C$116,"&gt;0")</f>
        <v>0</v>
      </c>
      <c r="M11" s="25" t="n">
        <f aca="false">COUNTIFS(条文別整理表!$A$8:$A$116,$A11,条文別整理表!$D$8:$D$116,M$4,条文別整理表!$C$8:$C$116,"&gt;0")</f>
        <v>1</v>
      </c>
      <c r="N11" s="25" t="n">
        <f aca="false">COUNTIFS(条文別整理表!$A$8:$A$116,$A11,条文別整理表!$D$8:$D$116,N$4,条文別整理表!$C$8:$C$116,"&gt;0")</f>
        <v>0</v>
      </c>
      <c r="O11" s="25" t="n">
        <f aca="false">COUNTIFS(条文別整理表!$A$8:$A$116,$A11,条文別整理表!$D$8:$D$116,O$4,条文別整理表!$C$8:$C$116,"&gt;0")</f>
        <v>0</v>
      </c>
      <c r="P11" s="25" t="n">
        <f aca="false">COUNTIFS(条文別整理表!$A$8:$A$116,$A11,条文別整理表!$D$8:$D$116,P$4,条文別整理表!$C$8:$C$116,"&gt;0")</f>
        <v>0</v>
      </c>
      <c r="Q11" s="25" t="n">
        <f aca="false">COUNTIFS(条文別整理表!$A$8:$A$116,$A11,条文別整理表!$D$8:$D$116,Q$4,条文別整理表!$C$8:$C$116,"&gt;0")</f>
        <v>0</v>
      </c>
      <c r="R11" s="25" t="n">
        <f aca="false">COUNTIFS(条文別整理表!$A$8:$A$116,$A11,条文別整理表!$D$8:$D$116,R$4,条文別整理表!$C$8:$C$116,"&gt;0")</f>
        <v>2</v>
      </c>
      <c r="S11" s="25" t="n">
        <f aca="false">COUNTIFS(条文別整理表!$A$8:$A$116,$A11,条文別整理表!$D$8:$D$116,S$4,条文別整理表!$C$8:$C$116,"&gt;0")</f>
        <v>1</v>
      </c>
      <c r="T11" s="25" t="n">
        <f aca="false">COUNTIFS(条文別整理表!$A$8:$A$116,$A11,条文別整理表!$D$8:$D$116,T$4,条文別整理表!$C$8:$C$116,"&gt;0")</f>
        <v>0</v>
      </c>
      <c r="U11" s="25" t="n">
        <f aca="false">COUNTIFS(条文別整理表!$A$8:$A$116,$A11,条文別整理表!$D$8:$D$116,U$4,条文別整理表!$C$8:$C$116,"&gt;0")</f>
        <v>1</v>
      </c>
      <c r="V11" s="25" t="n">
        <f aca="false">COUNTIFS(条文別整理表!$A$8:$A$116,$A11,条文別整理表!$D$8:$D$116,V$4,条文別整理表!$C$8:$C$116,"&gt;0")</f>
        <v>2</v>
      </c>
      <c r="W11" s="23" t="n">
        <f aca="false">SUM(D11:V11)</f>
        <v>9</v>
      </c>
      <c r="X11" s="23" t="n">
        <f aca="false">COUNTIF(D11:V11,"&gt;0")</f>
        <v>7</v>
      </c>
    </row>
    <row r="12" customFormat="false" ht="15" hidden="false" customHeight="false" outlineLevel="0" collapsed="false">
      <c r="A12" s="23" t="n">
        <v>7</v>
      </c>
      <c r="B12" s="23" t="str">
        <f aca="false">INDEX(条文マスタ!$B$5:$B$12,MATCH($A12,条文マスタ!$A$5:$A$12,0))</f>
        <v>第　条　第　項</v>
      </c>
      <c r="C12" s="24" t="str">
        <f aca="false">INDEX(条文マスタ!$C$5:$C$12,MATCH($A12,条文マスタ!$A$5:$A$12,0))</f>
        <v>定期観測・調査</v>
      </c>
      <c r="D12" s="25" t="n">
        <f aca="false">COUNTIFS(条文別整理表!$A$8:$A$116,$A12,条文別整理表!$D$8:$D$116,D$4,条文別整理表!$C$8:$C$116,"&gt;0")</f>
        <v>0</v>
      </c>
      <c r="E12" s="25" t="n">
        <f aca="false">COUNTIFS(条文別整理表!$A$8:$A$116,$A12,条文別整理表!$D$8:$D$116,E$4,条文別整理表!$C$8:$C$116,"&gt;0")</f>
        <v>0</v>
      </c>
      <c r="F12" s="25" t="n">
        <f aca="false">COUNTIFS(条文別整理表!$A$8:$A$116,$A12,条文別整理表!$D$8:$D$116,F$4,条文別整理表!$C$8:$C$116,"&gt;0")</f>
        <v>0</v>
      </c>
      <c r="G12" s="25" t="n">
        <f aca="false">COUNTIFS(条文別整理表!$A$8:$A$116,$A12,条文別整理表!$D$8:$D$116,G$4,条文別整理表!$C$8:$C$116,"&gt;0")</f>
        <v>0</v>
      </c>
      <c r="H12" s="25" t="n">
        <f aca="false">COUNTIFS(条文別整理表!$A$8:$A$116,$A12,条文別整理表!$D$8:$D$116,H$4,条文別整理表!$C$8:$C$116,"&gt;0")</f>
        <v>1</v>
      </c>
      <c r="I12" s="25" t="n">
        <f aca="false">COUNTIFS(条文別整理表!$A$8:$A$116,$A12,条文別整理表!$D$8:$D$116,I$4,条文別整理表!$C$8:$C$116,"&gt;0")</f>
        <v>0</v>
      </c>
      <c r="J12" s="25" t="n">
        <f aca="false">COUNTIFS(条文別整理表!$A$8:$A$116,$A12,条文別整理表!$D$8:$D$116,J$4,条文別整理表!$C$8:$C$116,"&gt;0")</f>
        <v>0</v>
      </c>
      <c r="K12" s="25" t="n">
        <f aca="false">COUNTIFS(条文別整理表!$A$8:$A$116,$A12,条文別整理表!$D$8:$D$116,K$4,条文別整理表!$C$8:$C$116,"&gt;0")</f>
        <v>0</v>
      </c>
      <c r="L12" s="25" t="n">
        <f aca="false">COUNTIFS(条文別整理表!$A$8:$A$116,$A12,条文別整理表!$D$8:$D$116,L$4,条文別整理表!$C$8:$C$116,"&gt;0")</f>
        <v>3</v>
      </c>
      <c r="M12" s="25" t="n">
        <f aca="false">COUNTIFS(条文別整理表!$A$8:$A$116,$A12,条文別整理表!$D$8:$D$116,M$4,条文別整理表!$C$8:$C$116,"&gt;0")</f>
        <v>0</v>
      </c>
      <c r="N12" s="25" t="n">
        <f aca="false">COUNTIFS(条文別整理表!$A$8:$A$116,$A12,条文別整理表!$D$8:$D$116,N$4,条文別整理表!$C$8:$C$116,"&gt;0")</f>
        <v>0</v>
      </c>
      <c r="O12" s="25" t="n">
        <f aca="false">COUNTIFS(条文別整理表!$A$8:$A$116,$A12,条文別整理表!$D$8:$D$116,O$4,条文別整理表!$C$8:$C$116,"&gt;0")</f>
        <v>0</v>
      </c>
      <c r="P12" s="25" t="n">
        <f aca="false">COUNTIFS(条文別整理表!$A$8:$A$116,$A12,条文別整理表!$D$8:$D$116,P$4,条文別整理表!$C$8:$C$116,"&gt;0")</f>
        <v>0</v>
      </c>
      <c r="Q12" s="25" t="n">
        <f aca="false">COUNTIFS(条文別整理表!$A$8:$A$116,$A12,条文別整理表!$D$8:$D$116,Q$4,条文別整理表!$C$8:$C$116,"&gt;0")</f>
        <v>0</v>
      </c>
      <c r="R12" s="25" t="n">
        <f aca="false">COUNTIFS(条文別整理表!$A$8:$A$116,$A12,条文別整理表!$D$8:$D$116,R$4,条文別整理表!$C$8:$C$116,"&gt;0")</f>
        <v>3</v>
      </c>
      <c r="S12" s="25" t="n">
        <f aca="false">COUNTIFS(条文別整理表!$A$8:$A$116,$A12,条文別整理表!$D$8:$D$116,S$4,条文別整理表!$C$8:$C$116,"&gt;0")</f>
        <v>0</v>
      </c>
      <c r="T12" s="25" t="n">
        <f aca="false">COUNTIFS(条文別整理表!$A$8:$A$116,$A12,条文別整理表!$D$8:$D$116,T$4,条文別整理表!$C$8:$C$116,"&gt;0")</f>
        <v>0</v>
      </c>
      <c r="U12" s="25" t="n">
        <f aca="false">COUNTIFS(条文別整理表!$A$8:$A$116,$A12,条文別整理表!$D$8:$D$116,U$4,条文別整理表!$C$8:$C$116,"&gt;0")</f>
        <v>0</v>
      </c>
      <c r="V12" s="25" t="n">
        <f aca="false">COUNTIFS(条文別整理表!$A$8:$A$116,$A12,条文別整理表!$D$8:$D$116,V$4,条文別整理表!$C$8:$C$116,"&gt;0")</f>
        <v>0</v>
      </c>
      <c r="W12" s="23" t="n">
        <f aca="false">SUM(D12:V12)</f>
        <v>7</v>
      </c>
      <c r="X12" s="23" t="n">
        <f aca="false">COUNTIF(D12:V12,"&gt;0")</f>
        <v>3</v>
      </c>
    </row>
    <row r="13" customFormat="false" ht="15" hidden="false" customHeight="false" outlineLevel="0" collapsed="false">
      <c r="A13" s="23" t="n">
        <v>8</v>
      </c>
      <c r="B13" s="23" t="str">
        <f aca="false">INDEX(条文マスタ!$B$5:$B$12,MATCH($A13,条文マスタ!$A$5:$A$12,0))</f>
        <v>第　条　第　項</v>
      </c>
      <c r="C13" s="24" t="str">
        <f aca="false">INDEX(条文マスタ!$C$5:$C$12,MATCH($A13,条文マスタ!$A$5:$A$12,0))</f>
        <v>業務打合せ・報告</v>
      </c>
      <c r="D13" s="25" t="n">
        <f aca="false">COUNTIFS(条文別整理表!$A$8:$A$116,$A13,条文別整理表!$D$8:$D$116,D$4,条文別整理表!$C$8:$C$116,"&gt;0")</f>
        <v>1</v>
      </c>
      <c r="E13" s="25" t="n">
        <f aca="false">COUNTIFS(条文別整理表!$A$8:$A$116,$A13,条文別整理表!$D$8:$D$116,E$4,条文別整理表!$C$8:$C$116,"&gt;0")</f>
        <v>2</v>
      </c>
      <c r="F13" s="25" t="n">
        <f aca="false">COUNTIFS(条文別整理表!$A$8:$A$116,$A13,条文別整理表!$D$8:$D$116,F$4,条文別整理表!$C$8:$C$116,"&gt;0")</f>
        <v>1</v>
      </c>
      <c r="G13" s="25" t="n">
        <f aca="false">COUNTIFS(条文別整理表!$A$8:$A$116,$A13,条文別整理表!$D$8:$D$116,G$4,条文別整理表!$C$8:$C$116,"&gt;0")</f>
        <v>1</v>
      </c>
      <c r="H13" s="25" t="n">
        <f aca="false">COUNTIFS(条文別整理表!$A$8:$A$116,$A13,条文別整理表!$D$8:$D$116,H$4,条文別整理表!$C$8:$C$116,"&gt;0")</f>
        <v>1</v>
      </c>
      <c r="I13" s="25" t="n">
        <f aca="false">COUNTIFS(条文別整理表!$A$8:$A$116,$A13,条文別整理表!$D$8:$D$116,I$4,条文別整理表!$C$8:$C$116,"&gt;0")</f>
        <v>1</v>
      </c>
      <c r="J13" s="25" t="n">
        <f aca="false">COUNTIFS(条文別整理表!$A$8:$A$116,$A13,条文別整理表!$D$8:$D$116,J$4,条文別整理表!$C$8:$C$116,"&gt;0")</f>
        <v>1</v>
      </c>
      <c r="K13" s="25" t="n">
        <f aca="false">COUNTIFS(条文別整理表!$A$8:$A$116,$A13,条文別整理表!$D$8:$D$116,K$4,条文別整理表!$C$8:$C$116,"&gt;0")</f>
        <v>1</v>
      </c>
      <c r="L13" s="25" t="n">
        <f aca="false">COUNTIFS(条文別整理表!$A$8:$A$116,$A13,条文別整理表!$D$8:$D$116,L$4,条文別整理表!$C$8:$C$116,"&gt;0")</f>
        <v>1</v>
      </c>
      <c r="M13" s="25" t="n">
        <f aca="false">COUNTIFS(条文別整理表!$A$8:$A$116,$A13,条文別整理表!$D$8:$D$116,M$4,条文別整理表!$C$8:$C$116,"&gt;0")</f>
        <v>1</v>
      </c>
      <c r="N13" s="25" t="n">
        <f aca="false">COUNTIFS(条文別整理表!$A$8:$A$116,$A13,条文別整理表!$D$8:$D$116,N$4,条文別整理表!$C$8:$C$116,"&gt;0")</f>
        <v>1</v>
      </c>
      <c r="O13" s="25" t="n">
        <f aca="false">COUNTIFS(条文別整理表!$A$8:$A$116,$A13,条文別整理表!$D$8:$D$116,O$4,条文別整理表!$C$8:$C$116,"&gt;0")</f>
        <v>1</v>
      </c>
      <c r="P13" s="25" t="n">
        <f aca="false">COUNTIFS(条文別整理表!$A$8:$A$116,$A13,条文別整理表!$D$8:$D$116,P$4,条文別整理表!$C$8:$C$116,"&gt;0")</f>
        <v>1</v>
      </c>
      <c r="Q13" s="25" t="n">
        <f aca="false">COUNTIFS(条文別整理表!$A$8:$A$116,$A13,条文別整理表!$D$8:$D$116,Q$4,条文別整理表!$C$8:$C$116,"&gt;0")</f>
        <v>1</v>
      </c>
      <c r="R13" s="25" t="n">
        <f aca="false">COUNTIFS(条文別整理表!$A$8:$A$116,$A13,条文別整理表!$D$8:$D$116,R$4,条文別整理表!$C$8:$C$116,"&gt;0")</f>
        <v>1</v>
      </c>
      <c r="S13" s="25" t="n">
        <f aca="false">COUNTIFS(条文別整理表!$A$8:$A$116,$A13,条文別整理表!$D$8:$D$116,S$4,条文別整理表!$C$8:$C$116,"&gt;0")</f>
        <v>3</v>
      </c>
      <c r="T13" s="25" t="n">
        <f aca="false">COUNTIFS(条文別整理表!$A$8:$A$116,$A13,条文別整理表!$D$8:$D$116,T$4,条文別整理表!$C$8:$C$116,"&gt;0")</f>
        <v>3</v>
      </c>
      <c r="U13" s="25" t="n">
        <f aca="false">COUNTIFS(条文別整理表!$A$8:$A$116,$A13,条文別整理表!$D$8:$D$116,U$4,条文別整理表!$C$8:$C$116,"&gt;0")</f>
        <v>1</v>
      </c>
      <c r="V13" s="25" t="n">
        <f aca="false">COUNTIFS(条文別整理表!$A$8:$A$116,$A13,条文別整理表!$D$8:$D$116,V$4,条文別整理表!$C$8:$C$116,"&gt;0")</f>
        <v>1</v>
      </c>
      <c r="W13" s="23" t="n">
        <f aca="false">SUM(D13:V13)</f>
        <v>24</v>
      </c>
      <c r="X13" s="23" t="n">
        <f aca="false">COUNTIF(D13:V13,"&gt;0")</f>
        <v>19</v>
      </c>
    </row>
    <row r="14" customFormat="false" ht="15" hidden="false" customHeight="true" outlineLevel="0" collapsed="false">
      <c r="A14" s="26" t="s">
        <v>137</v>
      </c>
      <c r="B14" s="26"/>
      <c r="C14" s="26"/>
      <c r="D14" s="27" t="n">
        <f aca="false">SUM(D6:D13)</f>
        <v>6</v>
      </c>
      <c r="E14" s="27" t="n">
        <f aca="false">SUM(E6:E13)</f>
        <v>6</v>
      </c>
      <c r="F14" s="27" t="n">
        <f aca="false">SUM(F6:F13)</f>
        <v>4</v>
      </c>
      <c r="G14" s="27" t="n">
        <f aca="false">SUM(G6:G13)</f>
        <v>5</v>
      </c>
      <c r="H14" s="27" t="n">
        <f aca="false">SUM(H6:H13)</f>
        <v>7</v>
      </c>
      <c r="I14" s="27" t="n">
        <f aca="false">SUM(I6:I13)</f>
        <v>7</v>
      </c>
      <c r="J14" s="27" t="n">
        <f aca="false">SUM(J6:J13)</f>
        <v>6</v>
      </c>
      <c r="K14" s="27" t="n">
        <f aca="false">SUM(K6:K13)</f>
        <v>7</v>
      </c>
      <c r="L14" s="27" t="n">
        <f aca="false">SUM(L6:L13)</f>
        <v>6</v>
      </c>
      <c r="M14" s="27" t="n">
        <f aca="false">SUM(M6:M13)</f>
        <v>6</v>
      </c>
      <c r="N14" s="27" t="n">
        <f aca="false">SUM(N6:N13)</f>
        <v>7</v>
      </c>
      <c r="O14" s="27" t="n">
        <f aca="false">SUM(O6:O13)</f>
        <v>5</v>
      </c>
      <c r="P14" s="27" t="n">
        <f aca="false">SUM(P6:P13)</f>
        <v>3</v>
      </c>
      <c r="Q14" s="27" t="n">
        <f aca="false">SUM(Q6:Q13)</f>
        <v>4</v>
      </c>
      <c r="R14" s="27" t="n">
        <f aca="false">SUM(R6:R13)</f>
        <v>6</v>
      </c>
      <c r="S14" s="27" t="n">
        <f aca="false">SUM(S6:S13)</f>
        <v>4</v>
      </c>
      <c r="T14" s="27" t="n">
        <f aca="false">SUM(T6:T13)</f>
        <v>5</v>
      </c>
      <c r="U14" s="27" t="n">
        <f aca="false">SUM(U6:U13)</f>
        <v>4</v>
      </c>
      <c r="V14" s="27" t="n">
        <f aca="false">SUM(V6:V13)</f>
        <v>3</v>
      </c>
      <c r="W14" s="27" t="n">
        <f aca="false">SUM(W6:W13)</f>
        <v>101</v>
      </c>
      <c r="X14" s="27" t="n">
        <f aca="false">SUMPRODUCT(--(D14:V14&gt;0))</f>
        <v>19</v>
      </c>
    </row>
    <row r="16" customFormat="false" ht="15" hidden="false" customHeight="false" outlineLevel="0" collapsed="false">
      <c r="A16" s="18" t="s">
        <v>138</v>
      </c>
    </row>
  </sheetData>
  <mergeCells count="6">
    <mergeCell ref="A4:A5"/>
    <mergeCell ref="B4:B5"/>
    <mergeCell ref="C4:C5"/>
    <mergeCell ref="W4:W5"/>
    <mergeCell ref="X4:X5"/>
    <mergeCell ref="A14:C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20" t="s">
        <v>139</v>
      </c>
    </row>
    <row r="2" customFormat="false" ht="15" hidden="false" customHeight="false" outlineLevel="0" collapsed="false">
      <c r="A2" s="28" t="s">
        <v>140</v>
      </c>
    </row>
    <row r="4" customFormat="false" ht="15" hidden="false" customHeight="false" outlineLevel="0" collapsed="false">
      <c r="A4" s="4" t="s">
        <v>7</v>
      </c>
      <c r="B4" s="4" t="s">
        <v>8</v>
      </c>
      <c r="C4" s="4" t="s">
        <v>135</v>
      </c>
      <c r="D4" s="4" t="s">
        <v>141</v>
      </c>
    </row>
    <row r="5" customFormat="false" ht="30" hidden="false" customHeight="true" outlineLevel="0" collapsed="false">
      <c r="A5" s="12" t="n">
        <v>1</v>
      </c>
      <c r="B5" s="29" t="s">
        <v>142</v>
      </c>
      <c r="C5" s="15" t="s">
        <v>143</v>
      </c>
      <c r="D5" s="15" t="s">
        <v>144</v>
      </c>
    </row>
    <row r="6" customFormat="false" ht="30" hidden="false" customHeight="true" outlineLevel="0" collapsed="false">
      <c r="A6" s="12" t="n">
        <v>2</v>
      </c>
      <c r="B6" s="29" t="s">
        <v>142</v>
      </c>
      <c r="C6" s="15" t="s">
        <v>145</v>
      </c>
      <c r="D6" s="15" t="s">
        <v>146</v>
      </c>
    </row>
    <row r="7" customFormat="false" ht="30" hidden="false" customHeight="true" outlineLevel="0" collapsed="false">
      <c r="A7" s="12" t="n">
        <v>3</v>
      </c>
      <c r="B7" s="29" t="s">
        <v>142</v>
      </c>
      <c r="C7" s="15" t="s">
        <v>147</v>
      </c>
      <c r="D7" s="15" t="s">
        <v>148</v>
      </c>
    </row>
    <row r="8" customFormat="false" ht="30" hidden="false" customHeight="true" outlineLevel="0" collapsed="false">
      <c r="A8" s="12" t="n">
        <v>4</v>
      </c>
      <c r="B8" s="29" t="s">
        <v>142</v>
      </c>
      <c r="C8" s="15" t="s">
        <v>149</v>
      </c>
      <c r="D8" s="15" t="s">
        <v>150</v>
      </c>
    </row>
    <row r="9" customFormat="false" ht="30" hidden="false" customHeight="true" outlineLevel="0" collapsed="false">
      <c r="A9" s="12" t="n">
        <v>5</v>
      </c>
      <c r="B9" s="29" t="s">
        <v>142</v>
      </c>
      <c r="C9" s="15" t="s">
        <v>151</v>
      </c>
      <c r="D9" s="17" t="s">
        <v>152</v>
      </c>
    </row>
    <row r="10" customFormat="false" ht="30" hidden="false" customHeight="true" outlineLevel="0" collapsed="false">
      <c r="A10" s="12" t="n">
        <v>6</v>
      </c>
      <c r="B10" s="29" t="s">
        <v>142</v>
      </c>
      <c r="C10" s="15" t="s">
        <v>153</v>
      </c>
      <c r="D10" s="15" t="s">
        <v>154</v>
      </c>
    </row>
    <row r="11" customFormat="false" ht="30" hidden="false" customHeight="true" outlineLevel="0" collapsed="false">
      <c r="A11" s="12" t="n">
        <v>7</v>
      </c>
      <c r="B11" s="29" t="s">
        <v>142</v>
      </c>
      <c r="C11" s="15" t="s">
        <v>155</v>
      </c>
      <c r="D11" s="15" t="s">
        <v>156</v>
      </c>
    </row>
    <row r="12" customFormat="false" ht="30" hidden="false" customHeight="true" outlineLevel="0" collapsed="false">
      <c r="A12" s="12" t="n">
        <v>8</v>
      </c>
      <c r="B12" s="29" t="s">
        <v>142</v>
      </c>
      <c r="C12" s="15" t="s">
        <v>157</v>
      </c>
      <c r="D12" s="15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2026-10-01T04:45:58Z</dcterms:created>
  <dc:creator>openpyxl</dc:creator>
  <dc:description/>
  <dc:language>en-US</dc:language>
  <cp:lastModifiedBy/>
  <dcterms:modified xsi:type="dcterms:W3CDTF">2026-10-01T04:45:58Z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