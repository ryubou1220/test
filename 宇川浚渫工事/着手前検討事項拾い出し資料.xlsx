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2" activeTab="4" autoFilterDateGrouping="1"/>
  </bookViews>
  <sheets>
    <sheet name="工事概要" sheetId="1" state="visible" r:id="rId1"/>
    <sheet name="着手前検討事項チェックリスト" sheetId="2" state="visible" r:id="rId2"/>
    <sheet name="進捗サマリ" sheetId="3" state="visible" r:id="rId3"/>
    <sheet name="工区別数量一覧（参考）" sheetId="4" state="visible" r:id="rId4"/>
    <sheet name="地元立会調整事項（工区別）" sheetId="5" state="visible" r:id="rId5"/>
  </sheets>
  <definedNames>
    <definedName name="_xlnm._FilterDatabase" localSheetId="1" hidden="1">'着手前検討事項チェックリスト'!$A$4:$I$20</definedName>
    <definedName name="_xlnm.Print_Area" localSheetId="1">'着手前検討事項チェックリスト'!$A$4:$I$21</definedName>
    <definedName name="_xlnm._FilterDatabase" localSheetId="4" hidden="1">'地元立会調整事項（工区別）'!$A$4:$F$8</definedName>
    <definedName name="_xlnm.Print_Area" localSheetId="4">'地元立会調整事項（工区別）'!$A$4:$F$9</definedName>
  </definedNames>
  <calcPr calcId="124519" fullCalcOnLoad="1"/>
</workbook>
</file>

<file path=xl/styles.xml><?xml version="1.0" encoding="utf-8"?>
<styleSheet xmlns="http://schemas.openxmlformats.org/spreadsheetml/2006/main">
  <numFmts count="0"/>
  <fonts count="10">
    <font>
      <name val="ＭＳ Ｐゴシック"/>
      <family val="2"/>
      <color theme="1"/>
      <sz val="11"/>
      <scheme val="minor"/>
    </font>
    <font>
      <name val="Yu Gothic"/>
      <charset val="128"/>
      <family val="3"/>
      <b val="1"/>
      <color rgb="FFFFFFFF"/>
      <sz val="16"/>
    </font>
    <font>
      <name val="Yu Gothic"/>
      <charset val="128"/>
      <family val="3"/>
      <b val="1"/>
      <color rgb="FF1F4E78"/>
      <sz val="10"/>
    </font>
    <font>
      <name val="Yu Gothic"/>
      <charset val="128"/>
      <family val="3"/>
      <b val="1"/>
      <sz val="10"/>
    </font>
    <font>
      <name val="Yu Gothic"/>
      <charset val="128"/>
      <family val="3"/>
      <sz val="10"/>
    </font>
    <font>
      <name val="Yu Gothic"/>
      <charset val="128"/>
      <family val="3"/>
      <i val="1"/>
      <color rgb="FF808080"/>
      <sz val="9"/>
    </font>
    <font>
      <name val="Yu Gothic"/>
      <charset val="128"/>
      <family val="3"/>
      <b val="1"/>
      <color rgb="FFFFFFFF"/>
      <sz val="11"/>
    </font>
    <font>
      <name val="Yu Gothic"/>
      <charset val="128"/>
      <family val="3"/>
      <b val="1"/>
      <sz val="9"/>
    </font>
    <font>
      <name val="ＭＳ Ｐゴシック"/>
      <family val="2"/>
      <b val="1"/>
      <sz val="11"/>
      <scheme val="minor"/>
    </font>
    <font>
      <name val="ＭＳ Ｐゴシック"/>
      <charset val="128"/>
      <family val="3"/>
      <sz val="6"/>
      <scheme val="minor"/>
    </font>
  </fonts>
  <fills count="19">
    <fill>
      <patternFill/>
    </fill>
    <fill>
      <patternFill patternType="gray125"/>
    </fill>
    <fill>
      <patternFill patternType="solid">
        <fgColor rgb="FF1F4E78"/>
      </patternFill>
    </fill>
    <fill>
      <patternFill patternType="solid">
        <fgColor rgb="FFD9E2F3"/>
      </patternFill>
    </fill>
    <fill>
      <patternFill patternType="solid">
        <fgColor rgb="FF2E75B6"/>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AD1DC"/>
      </patternFill>
    </fill>
    <fill>
      <patternFill patternType="solid">
        <fgColor rgb="FFD9D2E9"/>
      </patternFill>
    </fill>
    <fill>
      <patternFill patternType="solid">
        <fgColor rgb="FFCFE2F3"/>
      </patternFill>
    </fill>
    <fill>
      <patternFill patternType="solid">
        <fgColor rgb="FFFFF9C4"/>
      </patternFill>
    </fill>
    <fill>
      <patternFill patternType="solid">
        <fgColor rgb="FFD0E0E3"/>
      </patternFill>
    </fill>
    <fill>
      <patternFill patternType="solid">
        <fgColor rgb="FFD9EAD3"/>
      </patternFill>
    </fill>
    <fill>
      <patternFill patternType="solid">
        <fgColor rgb="FFEFEFEF"/>
      </patternFill>
    </fill>
    <fill>
      <patternFill patternType="solid">
        <fgColor rgb="FFFBE5D6"/>
      </patternFill>
    </fill>
    <fill>
      <patternFill patternType="solid">
        <fgColor rgb="FFF4CCCC"/>
      </patternFill>
    </fill>
    <fill>
      <patternFill patternType="solid">
        <fgColor rgb="FFF8CBAD"/>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7">
    <xf numFmtId="0" fontId="0" fillId="0" borderId="0" pivotButton="0" quotePrefix="0" xfId="0"/>
    <xf numFmtId="0" fontId="3" fillId="0" borderId="1" applyAlignment="1" pivotButton="0" quotePrefix="0" xfId="0">
      <alignment horizontal="left" vertical="center" wrapText="1"/>
    </xf>
    <xf numFmtId="0" fontId="4" fillId="0" borderId="1" applyAlignment="1" pivotButton="0" quotePrefix="0" xfId="0">
      <alignment horizontal="left" vertical="top" wrapText="1"/>
    </xf>
    <xf numFmtId="0" fontId="3"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top" wrapText="1"/>
    </xf>
    <xf numFmtId="0" fontId="4" fillId="6" borderId="1" applyAlignment="1" pivotButton="0" quotePrefix="0" xfId="0">
      <alignment horizontal="center" vertical="center" wrapText="1"/>
    </xf>
    <xf numFmtId="0" fontId="4" fillId="6" borderId="1" applyAlignment="1" pivotButton="0" quotePrefix="0" xfId="0">
      <alignment horizontal="left" vertical="top" wrapText="1"/>
    </xf>
    <xf numFmtId="0" fontId="4" fillId="7" borderId="1" applyAlignment="1" pivotButton="0" quotePrefix="0" xfId="0">
      <alignment horizontal="center" vertical="center" wrapText="1"/>
    </xf>
    <xf numFmtId="0" fontId="4" fillId="7" borderId="1" applyAlignment="1" pivotButton="0" quotePrefix="0" xfId="0">
      <alignment horizontal="left" vertical="top"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4" fillId="12" borderId="1" applyAlignment="1" pivotButton="0" quotePrefix="0" xfId="0">
      <alignment horizontal="left" vertical="top" wrapText="1"/>
    </xf>
    <xf numFmtId="0" fontId="4" fillId="13" borderId="1" applyAlignment="1" pivotButton="0" quotePrefix="0" xfId="0">
      <alignment horizontal="center" vertical="center" wrapText="1"/>
    </xf>
    <xf numFmtId="0" fontId="4" fillId="13" borderId="1" applyAlignment="1" pivotButton="0" quotePrefix="0" xfId="0">
      <alignment horizontal="left" vertical="top" wrapText="1"/>
    </xf>
    <xf numFmtId="0" fontId="4" fillId="14" borderId="1" applyAlignment="1" pivotButton="0" quotePrefix="0" xfId="0">
      <alignment horizontal="center" vertical="center" wrapText="1"/>
    </xf>
    <xf numFmtId="0" fontId="4" fillId="14" borderId="1" applyAlignment="1" pivotButton="0" quotePrefix="0" xfId="0">
      <alignment horizontal="left" vertical="top" wrapText="1"/>
    </xf>
    <xf numFmtId="0" fontId="4" fillId="15" borderId="1" applyAlignment="1" pivotButton="0" quotePrefix="0" xfId="0">
      <alignment horizontal="center" vertical="center" wrapText="1"/>
    </xf>
    <xf numFmtId="0" fontId="4" fillId="15" borderId="1" applyAlignment="1" pivotButton="0" quotePrefix="0" xfId="0">
      <alignment horizontal="left" vertical="top" wrapText="1"/>
    </xf>
    <xf numFmtId="0" fontId="4" fillId="5"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16"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4" fillId="11" borderId="1" applyAlignment="1" pivotButton="0" quotePrefix="0" xfId="0">
      <alignment horizontal="left" vertical="center" wrapText="1"/>
    </xf>
    <xf numFmtId="0" fontId="4" fillId="17"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4" borderId="1" applyAlignment="1" pivotButton="0" quotePrefix="0" xfId="0">
      <alignment horizontal="left" vertical="center" wrapText="1"/>
    </xf>
    <xf numFmtId="0" fontId="4" fillId="15"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0" borderId="1" pivotButton="0" quotePrefix="0" xfId="0"/>
    <xf numFmtId="0" fontId="4" fillId="18" borderId="1" applyAlignment="1" pivotButton="0" quotePrefix="0" xfId="0">
      <alignment horizontal="center" vertical="center" wrapText="1"/>
    </xf>
    <xf numFmtId="0" fontId="3" fillId="18" borderId="1" applyAlignment="1" pivotButton="0" quotePrefix="0" xfId="0">
      <alignment horizontal="left" vertical="top" wrapText="1"/>
    </xf>
    <xf numFmtId="0" fontId="4" fillId="18" borderId="1" applyAlignment="1" pivotButton="0" quotePrefix="0" xfId="0">
      <alignment horizontal="left" vertical="top" wrapText="1"/>
    </xf>
    <xf numFmtId="0" fontId="4"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left" vertical="top" wrapText="1"/>
    </xf>
    <xf numFmtId="0" fontId="2" fillId="3" borderId="0" pivotButton="0" quotePrefix="0" xfId="0"/>
    <xf numFmtId="0" fontId="1" fillId="2" borderId="0" applyAlignment="1" pivotButton="0" quotePrefix="0" xfId="0">
      <alignment horizontal="center" vertical="center" wrapText="1"/>
    </xf>
    <xf numFmtId="0" fontId="5" fillId="0" borderId="0" pivotButton="0" quotePrefix="0" xfId="0"/>
    <xf numFmtId="0" fontId="3" fillId="0" borderId="1" applyAlignment="1" pivotButton="0" quotePrefix="0" xfId="0">
      <alignment horizontal="center" vertical="center" wrapText="1"/>
    </xf>
    <xf numFmtId="0" fontId="7" fillId="0" borderId="0" pivotButton="0" quotePrefix="0" xfId="0"/>
    <xf numFmtId="0" fontId="8" fillId="0" borderId="0" pivotButton="0" quotePrefix="0" xfId="0"/>
    <xf numFmtId="0" fontId="0" fillId="0" borderId="4" pivotButton="0" quotePrefix="0" xfId="0"/>
    <xf numFmtId="0" fontId="0" fillId="0" borderId="5" pivotButton="0" quotePrefix="0" xfId="0"/>
  </cellXfs>
  <cellStyles count="1">
    <cellStyle name="標準" xfId="0" builtinId="0"/>
  </cellStyles>
  <dxfs count="3">
    <dxf>
      <fill>
        <patternFill patternType="solid">
          <fgColor rgb="FFBDD7EE"/>
        </patternFill>
      </fill>
    </dxf>
    <dxf>
      <fill>
        <patternFill patternType="solid">
          <fgColor rgb="FFFFE699"/>
        </patternFill>
      </fill>
    </dxf>
    <dxf>
      <fill>
        <patternFill patternType="solid">
          <fgColor rgb="FF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showGridLines="0" workbookViewId="0">
      <pane ySplit="2" topLeftCell="A13" activePane="bottomLeft" state="frozen"/>
      <selection pane="bottomLeft" activeCell="A1" sqref="A1:H2"/>
    </sheetView>
  </sheetViews>
  <sheetFormatPr baseColWidth="8" defaultRowHeight="13.5"/>
  <cols>
    <col width="16" customWidth="1" style="47" min="1" max="1"/>
    <col width="22" customWidth="1" style="47" min="2" max="2"/>
    <col width="28" customWidth="1" style="47" min="3" max="3"/>
    <col width="40" customWidth="1" style="47" min="4" max="4"/>
    <col width="34" customWidth="1" style="47" min="5" max="5"/>
  </cols>
  <sheetData>
    <row r="1" ht="24" customHeight="1" s="47">
      <c r="A1" s="50" t="inlineStr">
        <is>
          <t>新規現場管理工事　着手前の問題・課題・検討事項　拾い出し資料</t>
        </is>
      </c>
    </row>
    <row r="2" ht="24" customHeight="1" s="47"/>
    <row r="4">
      <c r="A4" t="inlineStr">
        <is>
          <t>作成日</t>
        </is>
      </c>
      <c r="B4" t="inlineStr">
        <is>
          <t>＝TODAY() で自動表示（要更新）</t>
        </is>
      </c>
    </row>
    <row r="5">
      <c r="A5" t="inlineStr">
        <is>
          <t>対象資料</t>
        </is>
      </c>
      <c r="B5" t="inlineStr">
        <is>
          <t>仕様書（特記仕様書）／設計書（工事設計書・積算条件・本工事費内訳書）／図面／数量計算書</t>
        </is>
      </c>
    </row>
    <row r="6" ht="16.5" customHeight="1" s="47">
      <c r="A6" s="49" t="inlineStr">
        <is>
          <t>■ 工事基本情報</t>
        </is>
      </c>
    </row>
    <row r="7" ht="18" customHeight="1" s="47">
      <c r="A7" s="1" t="inlineStr">
        <is>
          <t>工事番号</t>
        </is>
      </c>
      <c r="B7" s="48" t="inlineStr">
        <is>
          <t>丹後7府民協働第1499の2号の1の8　ほか計4件（下表参照）</t>
        </is>
      </c>
      <c r="C7" s="55" t="n"/>
      <c r="D7" s="55" t="n"/>
      <c r="E7" s="55" t="n"/>
      <c r="F7" s="55" t="n"/>
      <c r="G7" s="55" t="n"/>
      <c r="H7" s="56" t="n"/>
    </row>
    <row r="8" ht="18" customHeight="1" s="47">
      <c r="A8" s="1" t="inlineStr">
        <is>
          <t>工事名</t>
        </is>
      </c>
      <c r="B8" s="48" t="inlineStr">
        <is>
          <t>管内一円（宇川）府民協働型インフラ保全工事　ほか</t>
        </is>
      </c>
      <c r="C8" s="55" t="n"/>
      <c r="D8" s="55" t="n"/>
      <c r="E8" s="55" t="n"/>
      <c r="F8" s="55" t="n"/>
      <c r="G8" s="55" t="n"/>
      <c r="H8" s="56" t="n"/>
    </row>
    <row r="9" ht="18" customHeight="1" s="47">
      <c r="A9" s="1" t="inlineStr">
        <is>
          <t>発注者</t>
        </is>
      </c>
      <c r="B9" s="48" t="inlineStr">
        <is>
          <t>京都府　丹後土木事務所</t>
        </is>
      </c>
      <c r="C9" s="55" t="n"/>
      <c r="D9" s="55" t="n"/>
      <c r="E9" s="55" t="n"/>
      <c r="F9" s="55" t="n"/>
      <c r="G9" s="55" t="n"/>
      <c r="H9" s="56" t="n"/>
    </row>
    <row r="10" ht="18" customHeight="1" s="47">
      <c r="A10" s="1" t="inlineStr">
        <is>
          <t>施工箇所</t>
        </is>
      </c>
      <c r="B10" s="48" t="inlineStr">
        <is>
          <t>京丹後市丹後町遠下地内　他</t>
        </is>
      </c>
      <c r="C10" s="55" t="n"/>
      <c r="D10" s="55" t="n"/>
      <c r="E10" s="55" t="n"/>
      <c r="F10" s="55" t="n"/>
      <c r="G10" s="55" t="n"/>
      <c r="H10" s="56" t="n"/>
    </row>
    <row r="11" ht="18" customHeight="1" s="47">
      <c r="A11" s="1" t="inlineStr">
        <is>
          <t>工事延長</t>
        </is>
      </c>
      <c r="B11" s="48" t="inlineStr">
        <is>
          <t>合計 600ｍ（本工事1・2掘削工　計2,700m3）</t>
        </is>
      </c>
      <c r="C11" s="55" t="n"/>
      <c r="D11" s="55" t="n"/>
      <c r="E11" s="55" t="n"/>
      <c r="F11" s="55" t="n"/>
      <c r="G11" s="55" t="n"/>
      <c r="H11" s="56" t="n"/>
    </row>
    <row r="12" ht="18" customHeight="1" s="47">
      <c r="A12" s="1" t="inlineStr">
        <is>
          <t>工期</t>
        </is>
      </c>
      <c r="B12" s="48" t="inlineStr">
        <is>
          <t>契約日又は契約日の翌日から200日間</t>
        </is>
      </c>
      <c r="C12" s="55" t="n"/>
      <c r="D12" s="55" t="n"/>
      <c r="E12" s="55" t="n"/>
      <c r="F12" s="55" t="n"/>
      <c r="G12" s="55" t="n"/>
      <c r="H12" s="56" t="n"/>
    </row>
    <row r="13" ht="18" customHeight="1" s="47">
      <c r="A13" s="1" t="inlineStr">
        <is>
          <t>発注年度</t>
        </is>
      </c>
      <c r="B13" s="48" t="inlineStr">
        <is>
          <t>令和8年度</t>
        </is>
      </c>
      <c r="C13" s="55" t="n"/>
      <c r="D13" s="55" t="n"/>
      <c r="E13" s="55" t="n"/>
      <c r="F13" s="55" t="n"/>
      <c r="G13" s="55" t="n"/>
      <c r="H13" s="56" t="n"/>
    </row>
    <row r="14" ht="18" customHeight="1" s="47">
      <c r="A14" s="1" t="inlineStr">
        <is>
          <t>特記事項（施工時期）</t>
        </is>
      </c>
      <c r="B14" s="48" t="inlineStr">
        <is>
          <t>鮎の漁期（4～9月）・産卵期（10～12月下旬）を避けて施工。実質的な施工可能時期が限定される点に留意。</t>
        </is>
      </c>
      <c r="C14" s="55" t="n"/>
      <c r="D14" s="55" t="n"/>
      <c r="E14" s="55" t="n"/>
      <c r="F14" s="55" t="n"/>
      <c r="G14" s="55" t="n"/>
      <c r="H14" s="56" t="n"/>
    </row>
    <row r="16" ht="16.5" customHeight="1" s="47">
      <c r="A16" s="49" t="inlineStr">
        <is>
          <t>■ 工事番号一覧</t>
        </is>
      </c>
    </row>
    <row r="17">
      <c r="A17" s="46" t="inlineStr">
        <is>
          <t>・丹後7府民協働第1499の2号の1の8　管内一円（宇川）府民協働型インフラ保全工事</t>
        </is>
      </c>
    </row>
    <row r="18">
      <c r="A18" s="46" t="inlineStr">
        <is>
          <t>・丹後7緊急浚渫（河川）第1333号の1の2／丹後8緊急浚渫（河川）第1333号の1の1　宇川緊急浚渫推進（河川）工事</t>
        </is>
      </c>
    </row>
    <row r="19">
      <c r="A19" s="46" t="inlineStr">
        <is>
          <t>・丹後7臨生第1499の2号の1の6　管内一円（宇川）臨時生活関連施設整備工事</t>
        </is>
      </c>
    </row>
    <row r="21" ht="16.5" customHeight="1" s="47">
      <c r="A21" s="49" t="inlineStr">
        <is>
          <t>■ 工区別概要（数量計算書・工事設計書より）</t>
        </is>
      </c>
    </row>
    <row r="22" ht="18" customHeight="1" s="47">
      <c r="A22" s="3" t="inlineStr">
        <is>
          <t>工区</t>
        </is>
      </c>
      <c r="B22" s="3" t="inlineStr">
        <is>
          <t>対象河川・所在地</t>
        </is>
      </c>
      <c r="C22" s="3" t="inlineStr">
        <is>
          <t>主な工種</t>
        </is>
      </c>
      <c r="D22" s="3" t="inlineStr">
        <is>
          <t>主要数量（設計数量）</t>
        </is>
      </c>
      <c r="E22" s="3" t="inlineStr">
        <is>
          <t>工区特記事項</t>
        </is>
      </c>
    </row>
    <row r="23" ht="57.95" customHeight="1" s="47">
      <c r="A23" s="48" t="inlineStr">
        <is>
          <t>本工事1
（006宇川）</t>
        </is>
      </c>
      <c r="B23" s="48" t="inlineStr">
        <is>
          <t>宇川／京丹後市丹後町地内　施工箇所A</t>
        </is>
      </c>
      <c r="C23" s="48" t="inlineStr">
        <is>
          <t>河川土工（浚渫掘削、工区①下流側＋工区②上流側）・仮設工（工事用道路）</t>
        </is>
      </c>
      <c r="D23" s="48" t="inlineStr">
        <is>
          <t>掘削1,400m3（工区①720m3＋工区②720m3）／残土処分工区①740m3・工区②690m3／工区②→①土砂運搬20m3(L=0.9km)／交通誘導員14人日</t>
        </is>
      </c>
      <c r="E23" s="48" t="inlineStr">
        <is>
          <t>工区①のみ仮設工事用道路（盛土19m3）あり</t>
        </is>
      </c>
    </row>
    <row r="24" ht="57.95" customHeight="1" s="47">
      <c r="A24" s="48" t="inlineStr">
        <is>
          <t>本工事2
（014(097)宇川）</t>
        </is>
      </c>
      <c r="B24" s="48" t="inlineStr">
        <is>
          <t>宇川／京丹後市丹後町地内　施工箇所B</t>
        </is>
      </c>
      <c r="C24" s="48" t="inlineStr">
        <is>
          <t>河川土工（浚渫掘削、浚渫北側＋浚渫南側）</t>
        </is>
      </c>
      <c r="D24" s="48" t="inlineStr">
        <is>
          <t>掘削1,300m3（各L=200m）／残土処分1,340m3／交通誘導員13人日</t>
        </is>
      </c>
      <c r="E24" s="48" t="inlineStr">
        <is>
          <t>残土は伊根町公共残土処分場へ（予約制・土日祝年末年始休業）</t>
        </is>
      </c>
    </row>
  </sheetData>
  <mergeCells count="15">
    <mergeCell ref="A18:H18"/>
    <mergeCell ref="B14:H14"/>
    <mergeCell ref="B8:H8"/>
    <mergeCell ref="A21:H21"/>
    <mergeCell ref="B9:H9"/>
    <mergeCell ref="B13:H13"/>
    <mergeCell ref="A16:H16"/>
    <mergeCell ref="B12:H12"/>
    <mergeCell ref="A19:H19"/>
    <mergeCell ref="B10:H10"/>
    <mergeCell ref="B7:H7"/>
    <mergeCell ref="B11:H11"/>
    <mergeCell ref="A1:H2"/>
    <mergeCell ref="A6:H6"/>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showGridLines="0" workbookViewId="0">
      <pane ySplit="4" topLeftCell="A18" activePane="bottomLeft" state="frozen"/>
      <selection pane="bottomLeft" activeCell="D8" sqref="D8"/>
    </sheetView>
  </sheetViews>
  <sheetFormatPr baseColWidth="8" defaultRowHeight="13.5"/>
  <cols>
    <col width="5" customWidth="1" style="47" min="1" max="1"/>
    <col width="14" customWidth="1" style="47" min="2" max="2"/>
    <col width="16" customWidth="1" style="47" min="3" max="3"/>
    <col width="30" customWidth="1" style="47" min="4" max="4"/>
    <col width="46" customWidth="1" style="47" min="5" max="5"/>
    <col width="20" customWidth="1" style="47" min="6" max="6"/>
    <col width="12" customWidth="1" style="47" min="7" max="8"/>
    <col width="24" customWidth="1" style="47" min="9" max="9"/>
  </cols>
  <sheetData>
    <row r="1" ht="24" customHeight="1" s="47">
      <c r="A1" s="50" t="inlineStr">
        <is>
          <t>着手前の問題・課題・検討事項　一覧（チェックリスト）</t>
        </is>
      </c>
    </row>
    <row r="2" ht="16.5" customHeight="1" s="47">
      <c r="A2" s="51" t="inlineStr">
        <is>
          <t>凡例：状況欄はプルダウンで選択（未着手／確認中／発注者協議中／完了）。区分ごとに色分け。出典欄は根拠資料のページ・条項を示す。</t>
        </is>
      </c>
    </row>
    <row r="4" ht="21.95" customHeight="1" s="47">
      <c r="A4" s="4" t="inlineStr">
        <is>
          <t>No.</t>
        </is>
      </c>
      <c r="B4" s="4" t="inlineStr">
        <is>
          <t>区分</t>
        </is>
      </c>
      <c r="C4" s="4" t="inlineStr">
        <is>
          <t>対象工区</t>
        </is>
      </c>
      <c r="D4" s="4" t="inlineStr">
        <is>
          <t>検討・確認事項</t>
        </is>
      </c>
      <c r="E4" s="4" t="inlineStr">
        <is>
          <t>詳細内容（仕様書等の根拠）</t>
        </is>
      </c>
      <c r="F4" s="4" t="inlineStr">
        <is>
          <t>確認・協議先</t>
        </is>
      </c>
      <c r="G4" s="4" t="inlineStr">
        <is>
          <t>対応目安時期</t>
        </is>
      </c>
      <c r="H4" s="4" t="inlineStr">
        <is>
          <t>状況</t>
        </is>
      </c>
      <c r="I4" s="4" t="inlineStr">
        <is>
          <t>出典</t>
        </is>
      </c>
    </row>
    <row r="5" ht="68.25" customHeight="1" s="47">
      <c r="A5" s="5" t="n">
        <v>1</v>
      </c>
      <c r="B5" s="5" t="inlineStr">
        <is>
          <t>契約・積算</t>
        </is>
      </c>
      <c r="C5" s="5" t="inlineStr">
        <is>
          <t>全工区</t>
        </is>
      </c>
      <c r="D5" s="6" t="inlineStr">
        <is>
          <t>概略発注方式（試行）の対象工種と計上率の確認</t>
        </is>
      </c>
      <c r="E5" s="6" t="inlineStr">
        <is>
          <t>契約対象工種の一部を概略発注工として集約し、「概略発注工を除く直接工事費」に対する率（本工事1=11.2%、本工事2=10.8%）で1式計上。契約変更時は積上げ精算のうえ総額を円止めに変更する必要がある。</t>
        </is>
      </c>
      <c r="F5" s="6" t="inlineStr">
        <is>
          <t>監督職員</t>
        </is>
      </c>
      <c r="G5" s="5" t="inlineStr">
        <is>
          <t>契約後速やか</t>
        </is>
      </c>
      <c r="H5" s="5" t="inlineStr">
        <is>
          <t>未着手</t>
        </is>
      </c>
      <c r="I5" s="6" t="inlineStr">
        <is>
          <t>特記仕様書1-3／本工事費内訳書 第1・2号明細書</t>
        </is>
      </c>
    </row>
    <row r="6" ht="57.95" customHeight="1" s="47">
      <c r="A6" s="5" t="n">
        <v>2</v>
      </c>
      <c r="B6" s="5" t="inlineStr">
        <is>
          <t>契約・積算</t>
        </is>
      </c>
      <c r="C6" s="5" t="inlineStr">
        <is>
          <t>全工区</t>
        </is>
      </c>
      <c r="D6" s="6" t="inlineStr">
        <is>
          <t>施工箇所が点在する工事の費用按分方法の確認</t>
        </is>
      </c>
      <c r="E6" s="6" t="inlineStr">
        <is>
          <t>共通仮設費・現場管理費は『本工事1（006宇川）』『本工事2（014(097)宇川）』毎に算出し地区間調整は行わない。一般管理費等は両地区をひとつの工事とみなして算出する。</t>
        </is>
      </c>
      <c r="F6" s="6" t="inlineStr">
        <is>
          <t>監督職員</t>
        </is>
      </c>
      <c r="G6" s="5" t="inlineStr">
        <is>
          <t>契約後速やか</t>
        </is>
      </c>
      <c r="H6" s="5" t="inlineStr">
        <is>
          <t>未着手</t>
        </is>
      </c>
      <c r="I6" s="6" t="inlineStr">
        <is>
          <t>特記仕様書1-4</t>
        </is>
      </c>
    </row>
    <row r="7" ht="67.5" customHeight="1" s="47">
      <c r="A7" s="5" t="n">
        <v>3</v>
      </c>
      <c r="B7" s="5" t="inlineStr">
        <is>
          <t>契約・積算</t>
        </is>
      </c>
      <c r="C7" s="5" t="inlineStr">
        <is>
          <t>本工事1（006宇川）</t>
        </is>
      </c>
      <c r="D7" s="6" t="inlineStr">
        <is>
          <t>掘削・残土数量の工区間差異の確認</t>
        </is>
      </c>
      <c r="E7" s="6" t="inlineStr">
        <is>
          <t>掘削の計算数量1,440m3に対し設計数量1,400m3（工区①+工区②合計）。残土処分も工区①742m3・工区②698m3と工区間で数量差があり、うち22m3は工区②から工区①へ運搬（L=0.9km）する計画。設計変更時の取扱いを事前確認。</t>
        </is>
      </c>
      <c r="F7" s="6" t="inlineStr">
        <is>
          <t>監督職員</t>
        </is>
      </c>
      <c r="G7" s="5" t="inlineStr">
        <is>
          <t>着手前</t>
        </is>
      </c>
      <c r="H7" s="5" t="inlineStr">
        <is>
          <t>未着手</t>
        </is>
      </c>
      <c r="I7" s="6" t="inlineStr">
        <is>
          <t>数量計算書（本工事1）</t>
        </is>
      </c>
    </row>
    <row r="8" ht="70.5" customHeight="1" s="47">
      <c r="A8" s="7" t="n">
        <v>4</v>
      </c>
      <c r="B8" s="7" t="inlineStr">
        <is>
          <t>近接施設・占用物件</t>
        </is>
      </c>
      <c r="C8" s="7" t="inlineStr">
        <is>
          <t>全工区</t>
        </is>
      </c>
      <c r="D8" s="8" t="inlineStr">
        <is>
          <t>地下埋設物・占用設備の事前照会</t>
        </is>
      </c>
      <c r="E8" s="8" t="inlineStr">
        <is>
          <t>ＮＴＴフィールドテクノ関西支店（地下埋設管・電柱・ケーブル）、関西電力送電線ダイヤル、ＪＡ京都丹後ガス配送管理センター（峰山町字二箇）、京丹後市役所上下水道部へ着手前に埋設状況を照会する。</t>
        </is>
      </c>
      <c r="F8" s="8" t="inlineStr">
        <is>
          <t>各占用設備管理者</t>
        </is>
      </c>
      <c r="G8" s="7" t="inlineStr">
        <is>
          <t>着手前</t>
        </is>
      </c>
      <c r="H8" s="7" t="inlineStr">
        <is>
          <t>未着手</t>
        </is>
      </c>
      <c r="I8" s="8" t="inlineStr">
        <is>
          <t>特記仕様書2-2</t>
        </is>
      </c>
    </row>
    <row r="9" ht="57.95" customHeight="1" s="47">
      <c r="A9" s="9" t="n">
        <v>5</v>
      </c>
      <c r="B9" s="9" t="inlineStr">
        <is>
          <t>地元・関係機関調整</t>
        </is>
      </c>
      <c r="C9" s="9" t="inlineStr">
        <is>
          <t>全工区</t>
        </is>
      </c>
      <c r="D9" s="10" t="inlineStr">
        <is>
          <t>工事着手前の地元立合の実施</t>
        </is>
      </c>
      <c r="E9" s="10" t="inlineStr">
        <is>
          <t>「現場については、地元立合後に着手すること」と特記仕様書に明記。着手前工程に地元立会の日程を確保する必要がある。</t>
        </is>
      </c>
      <c r="F9" s="10" t="inlineStr">
        <is>
          <t>地元関係者</t>
        </is>
      </c>
      <c r="G9" s="9" t="inlineStr">
        <is>
          <t>着手前</t>
        </is>
      </c>
      <c r="H9" s="9" t="inlineStr">
        <is>
          <t>未着手</t>
        </is>
      </c>
      <c r="I9" s="10" t="inlineStr">
        <is>
          <t>特記仕様書2-1</t>
        </is>
      </c>
    </row>
    <row r="10" ht="69" customHeight="1" s="47">
      <c r="A10" s="9" t="n">
        <v>6</v>
      </c>
      <c r="B10" s="9" t="inlineStr">
        <is>
          <t>地元・関係機関調整</t>
        </is>
      </c>
      <c r="C10" s="9" t="inlineStr">
        <is>
          <t>全工区（本工事1・2）</t>
        </is>
      </c>
      <c r="D10" s="10" t="inlineStr">
        <is>
          <t>【重要】鮎の漁期・産卵期を避けた施工時期の漁協・地元調整</t>
        </is>
      </c>
      <c r="E10" s="10" t="inlineStr">
        <is>
          <t>鮎の漁期（4月～9月）・産卵期（10月～12月下旬）に重ならないよう、野間漁業協同組合・上宇川漁業協同組合、地元自治会と調整のうえ現場着手すること、と特記仕様書に明記。実質的な施工可能時期が限られるため、契約後直ちに最優先で調整に着手し、200日間の工期設定との整合を確認する。</t>
        </is>
      </c>
      <c r="F10" s="10" t="inlineStr">
        <is>
          <t>野間漁業協同組合／上宇川漁業協同組合／地元自治会</t>
        </is>
      </c>
      <c r="G10" s="9" t="inlineStr">
        <is>
          <t>契約後直ちに</t>
        </is>
      </c>
      <c r="H10" s="9" t="inlineStr">
        <is>
          <t>未着手</t>
        </is>
      </c>
      <c r="I10" s="10" t="inlineStr">
        <is>
          <t>特記仕様書6-2（宇川の施工時期について）</t>
        </is>
      </c>
    </row>
    <row r="11" ht="57.95" customHeight="1" s="47">
      <c r="A11" s="11" t="n">
        <v>7</v>
      </c>
      <c r="B11" s="11" t="inlineStr">
        <is>
          <t>交通管理・安全</t>
        </is>
      </c>
      <c r="C11" s="11" t="inlineStr">
        <is>
          <t>全工区</t>
        </is>
      </c>
      <c r="D11" s="12" t="inlineStr">
        <is>
          <t>交通誘導警備員の配置計画確認</t>
        </is>
      </c>
      <c r="E11" s="12" t="inlineStr">
        <is>
          <t>本工事1=14人日、本工事2=13人日を計上（検定合格者不要）。道路管理者・所轄警察署との協議結果により変更が生じた場合は設計変更対象。</t>
        </is>
      </c>
      <c r="F11" s="12" t="inlineStr">
        <is>
          <t>道路管理者／所轄警察署／監督職員</t>
        </is>
      </c>
      <c r="G11" s="11" t="inlineStr">
        <is>
          <t>施工計画作成時</t>
        </is>
      </c>
      <c r="H11" s="11" t="inlineStr">
        <is>
          <t>未着手</t>
        </is>
      </c>
      <c r="I11" s="12" t="inlineStr">
        <is>
          <t>特記仕様書3-4</t>
        </is>
      </c>
    </row>
    <row r="12" ht="84" customHeight="1" s="47">
      <c r="A12" s="13" t="n">
        <v>8</v>
      </c>
      <c r="B12" s="13" t="inlineStr">
        <is>
          <t>残土・建設副産物</t>
        </is>
      </c>
      <c r="C12" s="13" t="inlineStr">
        <is>
          <t>全工区</t>
        </is>
      </c>
      <c r="D12" s="14" t="inlineStr">
        <is>
          <t>建設発生土の処分先（伊根町公共残土処分場）受入条件の確認</t>
        </is>
      </c>
      <c r="E12" s="14" t="inlineStr">
        <is>
          <t>伊根町本坂第2処分場（与謝郡伊根町字本坂小字宮田10004番地）。予約制で常時解放なし、土曜・日曜・祝日・年末年始（12/29～1/3）休業。含水比の高い土砂（車輌から泥土が漏れる程度）は受入不可。運搬距離：本工事1=14.0km、本工事2=12.5km。</t>
        </is>
      </c>
      <c r="F12" s="14" t="inlineStr">
        <is>
          <t>伊根町処分場／監督職員</t>
        </is>
      </c>
      <c r="G12" s="13" t="inlineStr">
        <is>
          <t>着手前</t>
        </is>
      </c>
      <c r="H12" s="13" t="inlineStr">
        <is>
          <t>未着手</t>
        </is>
      </c>
      <c r="I12" s="14" t="inlineStr">
        <is>
          <t>特記仕様書3-8</t>
        </is>
      </c>
    </row>
    <row r="13" ht="57.95" customHeight="1" s="47">
      <c r="A13" s="15" t="n">
        <v>9</v>
      </c>
      <c r="B13" s="15" t="inlineStr">
        <is>
          <t>土壌調査・条例</t>
        </is>
      </c>
      <c r="C13" s="15" t="inlineStr">
        <is>
          <t>全工区</t>
        </is>
      </c>
      <c r="D13" s="16" t="inlineStr">
        <is>
          <t>土砂条例に基づく土壌調査の実施・様式作成</t>
        </is>
      </c>
      <c r="E13" s="16" t="inlineStr">
        <is>
          <t>本工事1は工区①・②で計2箇所、本工事2は1式の土壌調査を計上。土砂等を採取した地点の位置図・現場写真、土壌調査資料採取報告書等の作成が必要。</t>
        </is>
      </c>
      <c r="F13" s="16" t="inlineStr">
        <is>
          <t>監督職員／調査機関</t>
        </is>
      </c>
      <c r="G13" s="15" t="inlineStr">
        <is>
          <t>着手前～施工初期</t>
        </is>
      </c>
      <c r="H13" s="15" t="inlineStr">
        <is>
          <t>未着手</t>
        </is>
      </c>
      <c r="I13" s="16" t="inlineStr">
        <is>
          <t>特記仕様書3-8-2</t>
        </is>
      </c>
    </row>
    <row r="14" ht="57.95" customHeight="1" s="47">
      <c r="A14" s="17" t="n">
        <v>10</v>
      </c>
      <c r="B14" s="17" t="inlineStr">
        <is>
          <t>盛土規制法</t>
        </is>
      </c>
      <c r="C14" s="17" t="inlineStr">
        <is>
          <t>本工事1（006宇川）</t>
        </is>
      </c>
      <c r="D14" s="18" t="inlineStr">
        <is>
          <t>宅地造成及び特定盛土等規制法の該当性確認</t>
        </is>
      </c>
      <c r="E14" s="18" t="inlineStr">
        <is>
          <t>令和7年5月1日指定の規制区域における仮設工事用道路盛土（工区①のみ、19.8m3）が許可対象となる盛土等に該当するか確認する。</t>
        </is>
      </c>
      <c r="F14" s="18" t="inlineStr">
        <is>
          <t>監督職員</t>
        </is>
      </c>
      <c r="G14" s="17" t="inlineStr">
        <is>
          <t>着手前</t>
        </is>
      </c>
      <c r="H14" s="17" t="inlineStr">
        <is>
          <t>未着手</t>
        </is>
      </c>
      <c r="I14" s="18" t="inlineStr">
        <is>
          <t>特記仕様書3-8-4</t>
        </is>
      </c>
    </row>
    <row r="15" ht="57.95" customHeight="1" s="47">
      <c r="A15" s="19" t="n">
        <v>11</v>
      </c>
      <c r="B15" s="19" t="inlineStr">
        <is>
          <t>工程・仮設計画</t>
        </is>
      </c>
      <c r="C15" s="19" t="inlineStr">
        <is>
          <t>本工事1（006宇川）</t>
        </is>
      </c>
      <c r="D15" s="20" t="inlineStr">
        <is>
          <t>工区②→工区①への土砂運搬を含む工程調整</t>
        </is>
      </c>
      <c r="E15" s="20" t="inlineStr">
        <is>
          <t>工区②の残土の一部（22.0m3、L=0.9km）を工区①側へ運搬し、工区①の仮設工事用道路盛土（流用土19.8m3）に活用する計画。両工区の施工順序・タイミングの整合を確認する。</t>
        </is>
      </c>
      <c r="F15" s="20" t="inlineStr">
        <is>
          <t>現場担当（工程管理）</t>
        </is>
      </c>
      <c r="G15" s="19" t="inlineStr">
        <is>
          <t>施工計画作成時</t>
        </is>
      </c>
      <c r="H15" s="19" t="inlineStr">
        <is>
          <t>未着手</t>
        </is>
      </c>
      <c r="I15" s="20" t="inlineStr">
        <is>
          <t>数量計算書（本工事1）</t>
        </is>
      </c>
    </row>
    <row r="16" ht="87" customHeight="1" s="47">
      <c r="A16" s="21" t="n">
        <v>12</v>
      </c>
      <c r="B16" s="21" t="inlineStr">
        <is>
          <t>河川浚渫特有事項</t>
        </is>
      </c>
      <c r="C16" s="21" t="inlineStr">
        <is>
          <t>全工区</t>
        </is>
      </c>
      <c r="D16" s="22" t="inlineStr">
        <is>
          <t>着手前の事前測量（横断測量）実施・施工図作成提出</t>
        </is>
      </c>
      <c r="E16" s="22" t="inlineStr">
        <is>
          <t>設計図が標準断面図による場合、着手前に横断測量（原則20m間隔）を実施し監督職員へ報告、掘削断面・河床勾配を協議のうえ施工図を作成・提出。堆積状況により40m間隔への変更協議可。施工図変更に伴う延長・掘削土量差は設計変更対象。</t>
        </is>
      </c>
      <c r="F16" s="22" t="inlineStr">
        <is>
          <t>監督職員</t>
        </is>
      </c>
      <c r="G16" s="21" t="inlineStr">
        <is>
          <t>着手前</t>
        </is>
      </c>
      <c r="H16" s="21" t="inlineStr">
        <is>
          <t>未着手</t>
        </is>
      </c>
      <c r="I16" s="22" t="inlineStr">
        <is>
          <t>河川浚渫工事に関する特記事項（事前測量）</t>
        </is>
      </c>
    </row>
    <row r="17" ht="72.75" customHeight="1" s="47">
      <c r="A17" s="21" t="n">
        <v>13</v>
      </c>
      <c r="B17" s="21" t="inlineStr">
        <is>
          <t>河川浚渫特有事項</t>
        </is>
      </c>
      <c r="C17" s="21" t="inlineStr">
        <is>
          <t>全工区</t>
        </is>
      </c>
      <c r="D17" s="22" t="inlineStr">
        <is>
          <t>水中掘削に伴う濁水対策・河川利用者（漁業関係者含む）との事前調整</t>
        </is>
      </c>
      <c r="E17" s="22" t="inlineStr">
        <is>
          <t>浚渫は水中掘削となり濁水が発生するため、河川水等の利用者とトラブルがないよう事前に調整する。漁協との施工時期調整と合わせて実施すると効率的。対策施設が必要な場合は設計変更対象。</t>
        </is>
      </c>
      <c r="F17" s="22" t="inlineStr">
        <is>
          <t>河川利用者／漁業協同組合</t>
        </is>
      </c>
      <c r="G17" s="21" t="inlineStr">
        <is>
          <t>着手前</t>
        </is>
      </c>
      <c r="H17" s="21" t="inlineStr">
        <is>
          <t>未着手</t>
        </is>
      </c>
      <c r="I17" s="22" t="inlineStr">
        <is>
          <t>河川浚渫工事に関する特記事項（施工準備等）</t>
        </is>
      </c>
    </row>
    <row r="18" ht="72" customHeight="1" s="47">
      <c r="A18" s="21" t="n">
        <v>14</v>
      </c>
      <c r="B18" s="21" t="inlineStr">
        <is>
          <t>河川浚渫特有事項</t>
        </is>
      </c>
      <c r="C18" s="21" t="inlineStr">
        <is>
          <t>全工区</t>
        </is>
      </c>
      <c r="D18" s="22" t="inlineStr">
        <is>
          <t>浚渫工事の段階確認・出来形規格値の把握</t>
        </is>
      </c>
      <c r="E18" s="22" t="inlineStr">
        <is>
          <t>掘削開始前（堆積状況確認）、掘削完成後（出来形確認）で段階確認を実施。出来形規格値は基準高＋100mm（施工管理延長20mにつき）。出水後の堆積再発生に備え写真管理を徹底。</t>
        </is>
      </c>
      <c r="F18" s="22" t="inlineStr">
        <is>
          <t>監督職員</t>
        </is>
      </c>
      <c r="G18" s="21" t="inlineStr">
        <is>
          <t>施工中</t>
        </is>
      </c>
      <c r="H18" s="21" t="inlineStr">
        <is>
          <t>未着手</t>
        </is>
      </c>
      <c r="I18" s="22" t="inlineStr">
        <is>
          <t>河川浚渫工事に関する特記事項（段階確認・施工管理）</t>
        </is>
      </c>
    </row>
    <row r="19" ht="72.75" customHeight="1" s="47">
      <c r="A19" s="23" t="n">
        <v>15</v>
      </c>
      <c r="B19" s="23" t="inlineStr">
        <is>
          <t>働き方改革</t>
        </is>
      </c>
      <c r="C19" s="23" t="inlineStr">
        <is>
          <t>全工区</t>
        </is>
      </c>
      <c r="D19" s="24" t="inlineStr">
        <is>
          <t>働き方改革に係る取組の意向確認書の提出</t>
        </is>
      </c>
      <c r="E19" s="24" t="inlineStr">
        <is>
          <t>ICT活用工事、週休2日制、遠隔臨場、CCUS、快適トイレ、熱中症対策現場管理費補正、デジタル小黒板電子化、ウィークリースタンス等について、取組意思を確認し工事打合せ簿で提出する。</t>
        </is>
      </c>
      <c r="F19" s="24" t="inlineStr">
        <is>
          <t>監督職員</t>
        </is>
      </c>
      <c r="G19" s="23" t="inlineStr">
        <is>
          <t>契約後速やか</t>
        </is>
      </c>
      <c r="H19" s="23" t="inlineStr">
        <is>
          <t>未着手</t>
        </is>
      </c>
      <c r="I19" s="24" t="inlineStr">
        <is>
          <t>特記仕様書5-9／働き方改革に係る取組の意向確認書</t>
        </is>
      </c>
    </row>
    <row r="20" ht="57.95" customHeight="1" s="47">
      <c r="A20" s="25" t="n">
        <v>16</v>
      </c>
      <c r="B20" s="25" t="inlineStr">
        <is>
          <t>書類関連</t>
        </is>
      </c>
      <c r="C20" s="25" t="inlineStr">
        <is>
          <t>全工区</t>
        </is>
      </c>
      <c r="D20" s="26" t="inlineStr">
        <is>
          <t>完成図書の製本方法・工事書類簡素化の確認</t>
        </is>
      </c>
      <c r="E20" s="26" t="inlineStr">
        <is>
          <t>A4縦2つ穴チューブファイルに規定順序で綴じる。土木工事書類一覧表（令和7年9月版）に基づき提出書類を整理。</t>
        </is>
      </c>
      <c r="F20" s="26" t="inlineStr">
        <is>
          <t>監督職員</t>
        </is>
      </c>
      <c r="G20" s="25" t="inlineStr">
        <is>
          <t>施工計画作成時</t>
        </is>
      </c>
      <c r="H20" s="25" t="inlineStr">
        <is>
          <t>未着手</t>
        </is>
      </c>
      <c r="I20" s="26" t="inlineStr">
        <is>
          <t>工事完成図書の製本方法に係る特記仕様（案）／特記仕様書3-1</t>
        </is>
      </c>
    </row>
    <row r="21" ht="84" customHeight="1" s="47">
      <c r="A21" s="13" t="n">
        <v>17</v>
      </c>
      <c r="B21" s="13" t="inlineStr">
        <is>
          <t>残土・建設副産物</t>
        </is>
      </c>
      <c r="C21" s="13" t="inlineStr">
        <is>
          <t>全工区</t>
        </is>
      </c>
      <c r="D21" s="14" t="inlineStr">
        <is>
          <t>【調整漏れ】伊根町公共残土処分場における重機の降り口及び残土の搬出位置の確認</t>
        </is>
      </c>
      <c r="E21" s="14" t="inlineStr">
        <is>
          <t>伊根町本坂第2処分場について、重機の降り口（処分場内への重機の進入・降下位置）及び残土の搬出位置が未調整。ダンプの進入経路・転回場所、仮設（敷鉄板等）の要否とあわせて処分場管理者と現地確認し、施工計画に反映する。追加費用が生じる場合は監督職員と協議。</t>
        </is>
      </c>
      <c r="F21" s="14" t="inlineStr">
        <is>
          <t>伊根町（処分場管理者）／監督職員</t>
        </is>
      </c>
      <c r="G21" s="13" t="inlineStr">
        <is>
          <t>着手前</t>
        </is>
      </c>
      <c r="H21" s="13" t="inlineStr">
        <is>
          <t>未着手</t>
        </is>
      </c>
      <c r="I21" s="14" t="inlineStr">
        <is>
          <t>現場指摘による追加項目（No.8関連）</t>
        </is>
      </c>
    </row>
  </sheetData>
  <autoFilter ref="A4:I20"/>
  <mergeCells count="2">
    <mergeCell ref="A1:I1"/>
    <mergeCell ref="A2:I2"/>
  </mergeCells>
  <conditionalFormatting sqref="H5:H21">
    <cfRule type="cellIs" priority="1" operator="equal" dxfId="2">
      <formula>"完了"</formula>
    </cfRule>
    <cfRule type="cellIs" priority="2" operator="equal" dxfId="1">
      <formula>"発注者協議中"</formula>
    </cfRule>
    <cfRule type="cellIs" priority="3" operator="equal" dxfId="0">
      <formula>"確認中"</formula>
    </cfRule>
  </conditionalFormatting>
  <dataValidations count="1">
    <dataValidation sqref="H5:H21" showDropDown="0" showInputMessage="0" showErrorMessage="0" allowBlank="0" type="list">
      <formula1>"未着手,確認中,発注者協議中,完了"</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showGridLines="0" workbookViewId="0">
      <selection activeCell="A1" sqref="A1:E1"/>
    </sheetView>
  </sheetViews>
  <sheetFormatPr baseColWidth="8" defaultRowHeight="13.5"/>
  <cols>
    <col width="22" customWidth="1" style="47" min="1" max="1"/>
    <col width="8" customWidth="1" style="47" min="2" max="2"/>
    <col width="9" customWidth="1" style="47" min="3" max="4"/>
    <col width="13" customWidth="1" style="47" min="5" max="5"/>
    <col width="9" customWidth="1" style="47" min="6" max="6"/>
  </cols>
  <sheetData>
    <row r="1" ht="24" customHeight="1" s="47">
      <c r="A1" s="50" t="inlineStr">
        <is>
          <t>進捗サマリ（区分別・状況別　自動集計）</t>
        </is>
      </c>
    </row>
    <row r="3" ht="21.95" customHeight="1" s="47">
      <c r="A3" s="4" t="inlineStr">
        <is>
          <t>区分</t>
        </is>
      </c>
      <c r="B3" s="4" t="inlineStr">
        <is>
          <t>件数</t>
        </is>
      </c>
      <c r="C3" s="4" t="inlineStr">
        <is>
          <t>未着手</t>
        </is>
      </c>
      <c r="D3" s="4" t="inlineStr">
        <is>
          <t>確認中</t>
        </is>
      </c>
      <c r="E3" s="4" t="inlineStr">
        <is>
          <t>発注者協議中</t>
        </is>
      </c>
      <c r="F3" s="4" t="inlineStr">
        <is>
          <t>完了</t>
        </is>
      </c>
    </row>
    <row r="4" ht="16.5" customHeight="1" s="47">
      <c r="A4" s="27" t="inlineStr">
        <is>
          <t>契約・積算</t>
        </is>
      </c>
      <c r="B4" s="28">
        <f>COUNTIF(着手前検討事項チェックリスト!$B$5:$B$21,A4)</f>
        <v/>
      </c>
      <c r="C4" s="28">
        <f>COUNTIFS(着手前検討事項チェックリスト!$B$5:$B$21,A4,着手前検討事項チェックリスト!$H$5:$H$21,"未着手")</f>
        <v/>
      </c>
      <c r="D4" s="28">
        <f>COUNTIFS(着手前検討事項チェックリスト!$B$5:$B$21,A4,着手前検討事項チェックリスト!$H$5:$H$21,"確認中")</f>
        <v/>
      </c>
      <c r="E4" s="28">
        <f>COUNTIFS(着手前検討事項チェックリスト!$B$5:$B$21,A4,着手前検討事項チェックリスト!$H$5:$H$21,"発注者協議中")</f>
        <v/>
      </c>
      <c r="F4" s="28">
        <f>COUNTIFS(着手前検討事項チェックリスト!$B$5:$B$21,A4,着手前検討事項チェックリスト!$H$5:$H$21,"完了")</f>
        <v/>
      </c>
    </row>
    <row r="5" ht="16.5" customHeight="1" s="47">
      <c r="A5" s="29" t="inlineStr">
        <is>
          <t>近接施設・占用物件</t>
        </is>
      </c>
      <c r="B5" s="28">
        <f>COUNTIF(着手前検討事項チェックリスト!$B$5:$B$21,A5)</f>
        <v/>
      </c>
      <c r="C5" s="28">
        <f>COUNTIFS(着手前検討事項チェックリスト!$B$5:$B$21,A5,着手前検討事項チェックリスト!$H$5:$H$21,"未着手")</f>
        <v/>
      </c>
      <c r="D5" s="28">
        <f>COUNTIFS(着手前検討事項チェックリスト!$B$5:$B$21,A5,着手前検討事項チェックリスト!$H$5:$H$21,"確認中")</f>
        <v/>
      </c>
      <c r="E5" s="28">
        <f>COUNTIFS(着手前検討事項チェックリスト!$B$5:$B$21,A5,着手前検討事項チェックリスト!$H$5:$H$21,"発注者協議中")</f>
        <v/>
      </c>
      <c r="F5" s="28">
        <f>COUNTIFS(着手前検討事項チェックリスト!$B$5:$B$21,A5,着手前検討事項チェックリスト!$H$5:$H$21,"完了")</f>
        <v/>
      </c>
    </row>
    <row r="6" ht="16.5" customHeight="1" s="47">
      <c r="A6" s="30" t="inlineStr">
        <is>
          <t>地元・関係機関調整</t>
        </is>
      </c>
      <c r="B6" s="28">
        <f>COUNTIF(着手前検討事項チェックリスト!$B$5:$B$21,A6)</f>
        <v/>
      </c>
      <c r="C6" s="28">
        <f>COUNTIFS(着手前検討事項チェックリスト!$B$5:$B$21,A6,着手前検討事項チェックリスト!$H$5:$H$21,"未着手")</f>
        <v/>
      </c>
      <c r="D6" s="28">
        <f>COUNTIFS(着手前検討事項チェックリスト!$B$5:$B$21,A6,着手前検討事項チェックリスト!$H$5:$H$21,"確認中")</f>
        <v/>
      </c>
      <c r="E6" s="28">
        <f>COUNTIFS(着手前検討事項チェックリスト!$B$5:$B$21,A6,着手前検討事項チェックリスト!$H$5:$H$21,"発注者協議中")</f>
        <v/>
      </c>
      <c r="F6" s="28">
        <f>COUNTIFS(着手前検討事項チェックリスト!$B$5:$B$21,A6,着手前検討事項チェックリスト!$H$5:$H$21,"完了")</f>
        <v/>
      </c>
    </row>
    <row r="7" ht="16.5" customHeight="1" s="47">
      <c r="A7" s="31" t="inlineStr">
        <is>
          <t>交通管理・安全</t>
        </is>
      </c>
      <c r="B7" s="28">
        <f>COUNTIF(着手前検討事項チェックリスト!$B$5:$B$21,A7)</f>
        <v/>
      </c>
      <c r="C7" s="28">
        <f>COUNTIFS(着手前検討事項チェックリスト!$B$5:$B$21,A7,着手前検討事項チェックリスト!$H$5:$H$21,"未着手")</f>
        <v/>
      </c>
      <c r="D7" s="28">
        <f>COUNTIFS(着手前検討事項チェックリスト!$B$5:$B$21,A7,着手前検討事項チェックリスト!$H$5:$H$21,"確認中")</f>
        <v/>
      </c>
      <c r="E7" s="28">
        <f>COUNTIFS(着手前検討事項チェックリスト!$B$5:$B$21,A7,着手前検討事項チェックリスト!$H$5:$H$21,"発注者協議中")</f>
        <v/>
      </c>
      <c r="F7" s="28">
        <f>COUNTIFS(着手前検討事項チェックリスト!$B$5:$B$21,A7,着手前検討事項チェックリスト!$H$5:$H$21,"完了")</f>
        <v/>
      </c>
    </row>
    <row r="8" ht="16.5" customHeight="1" s="47">
      <c r="A8" s="32" t="inlineStr">
        <is>
          <t>施工環境（気象等）</t>
        </is>
      </c>
      <c r="B8" s="28">
        <f>COUNTIF(着手前検討事項チェックリスト!$B$5:$B$21,A8)</f>
        <v/>
      </c>
      <c r="C8" s="28">
        <f>COUNTIFS(着手前検討事項チェックリスト!$B$5:$B$21,A8,着手前検討事項チェックリスト!$H$5:$H$21,"未着手")</f>
        <v/>
      </c>
      <c r="D8" s="28">
        <f>COUNTIFS(着手前検討事項チェックリスト!$B$5:$B$21,A8,着手前検討事項チェックリスト!$H$5:$H$21,"確認中")</f>
        <v/>
      </c>
      <c r="E8" s="28">
        <f>COUNTIFS(着手前検討事項チェックリスト!$B$5:$B$21,A8,着手前検討事項チェックリスト!$H$5:$H$21,"発注者協議中")</f>
        <v/>
      </c>
      <c r="F8" s="28">
        <f>COUNTIFS(着手前検討事項チェックリスト!$B$5:$B$21,A8,着手前検討事項チェックリスト!$H$5:$H$21,"完了")</f>
        <v/>
      </c>
    </row>
    <row r="9" ht="16.5" customHeight="1" s="47">
      <c r="A9" s="33" t="inlineStr">
        <is>
          <t>残土・建設副産物</t>
        </is>
      </c>
      <c r="B9" s="28">
        <f>COUNTIF(着手前検討事項チェックリスト!$B$5:$B$21,A9)</f>
        <v/>
      </c>
      <c r="C9" s="28">
        <f>COUNTIFS(着手前検討事項チェックリスト!$B$5:$B$21,A9,着手前検討事項チェックリスト!$H$5:$H$21,"未着手")</f>
        <v/>
      </c>
      <c r="D9" s="28">
        <f>COUNTIFS(着手前検討事項チェックリスト!$B$5:$B$21,A9,着手前検討事項チェックリスト!$H$5:$H$21,"確認中")</f>
        <v/>
      </c>
      <c r="E9" s="28">
        <f>COUNTIFS(着手前検討事項チェックリスト!$B$5:$B$21,A9,着手前検討事項チェックリスト!$H$5:$H$21,"発注者協議中")</f>
        <v/>
      </c>
      <c r="F9" s="28">
        <f>COUNTIFS(着手前検討事項チェックリスト!$B$5:$B$21,A9,着手前検討事項チェックリスト!$H$5:$H$21,"完了")</f>
        <v/>
      </c>
    </row>
    <row r="10" ht="16.5" customHeight="1" s="47">
      <c r="A10" s="34" t="inlineStr">
        <is>
          <t>土壌調査・条例</t>
        </is>
      </c>
      <c r="B10" s="28">
        <f>COUNTIF(着手前検討事項チェックリスト!$B$5:$B$21,A10)</f>
        <v/>
      </c>
      <c r="C10" s="28">
        <f>COUNTIFS(着手前検討事項チェックリスト!$B$5:$B$21,A10,着手前検討事項チェックリスト!$H$5:$H$21,"未着手")</f>
        <v/>
      </c>
      <c r="D10" s="28">
        <f>COUNTIFS(着手前検討事項チェックリスト!$B$5:$B$21,A10,着手前検討事項チェックリスト!$H$5:$H$21,"確認中")</f>
        <v/>
      </c>
      <c r="E10" s="28">
        <f>COUNTIFS(着手前検討事項チェックリスト!$B$5:$B$21,A10,着手前検討事項チェックリスト!$H$5:$H$21,"発注者協議中")</f>
        <v/>
      </c>
      <c r="F10" s="28">
        <f>COUNTIFS(着手前検討事項チェックリスト!$B$5:$B$21,A10,着手前検討事項チェックリスト!$H$5:$H$21,"完了")</f>
        <v/>
      </c>
    </row>
    <row r="11" ht="16.5" customHeight="1" s="47">
      <c r="A11" s="35" t="inlineStr">
        <is>
          <t>盛土規制法</t>
        </is>
      </c>
      <c r="B11" s="28">
        <f>COUNTIF(着手前検討事項チェックリスト!$B$5:$B$21,A11)</f>
        <v/>
      </c>
      <c r="C11" s="28">
        <f>COUNTIFS(着手前検討事項チェックリスト!$B$5:$B$21,A11,着手前検討事項チェックリスト!$H$5:$H$21,"未着手")</f>
        <v/>
      </c>
      <c r="D11" s="28">
        <f>COUNTIFS(着手前検討事項チェックリスト!$B$5:$B$21,A11,着手前検討事項チェックリスト!$H$5:$H$21,"確認中")</f>
        <v/>
      </c>
      <c r="E11" s="28">
        <f>COUNTIFS(着手前検討事項チェックリスト!$B$5:$B$21,A11,着手前検討事項チェックリスト!$H$5:$H$21,"発注者協議中")</f>
        <v/>
      </c>
      <c r="F11" s="28">
        <f>COUNTIFS(着手前検討事項チェックリスト!$B$5:$B$21,A11,着手前検討事項チェックリスト!$H$5:$H$21,"完了")</f>
        <v/>
      </c>
    </row>
    <row r="12" ht="16.5" customHeight="1" s="47">
      <c r="A12" s="36" t="inlineStr">
        <is>
          <t>材料・機械</t>
        </is>
      </c>
      <c r="B12" s="28">
        <f>COUNTIF(着手前検討事項チェックリスト!$B$5:$B$21,A12)</f>
        <v/>
      </c>
      <c r="C12" s="28">
        <f>COUNTIFS(着手前検討事項チェックリスト!$B$5:$B$21,A12,着手前検討事項チェックリスト!$H$5:$H$21,"未着手")</f>
        <v/>
      </c>
      <c r="D12" s="28">
        <f>COUNTIFS(着手前検討事項チェックリスト!$B$5:$B$21,A12,着手前検討事項チェックリスト!$H$5:$H$21,"確認中")</f>
        <v/>
      </c>
      <c r="E12" s="28">
        <f>COUNTIFS(着手前検討事項チェックリスト!$B$5:$B$21,A12,着手前検討事項チェックリスト!$H$5:$H$21,"発注者協議中")</f>
        <v/>
      </c>
      <c r="F12" s="28">
        <f>COUNTIFS(着手前検討事項チェックリスト!$B$5:$B$21,A12,着手前検討事項チェックリスト!$H$5:$H$21,"完了")</f>
        <v/>
      </c>
    </row>
    <row r="13" ht="16.5" customHeight="1" s="47">
      <c r="A13" s="37" t="inlineStr">
        <is>
          <t>河川浚渫特有事項</t>
        </is>
      </c>
      <c r="B13" s="28">
        <f>COUNTIF(着手前検討事項チェックリスト!$B$5:$B$21,A13)</f>
        <v/>
      </c>
      <c r="C13" s="28">
        <f>COUNTIFS(着手前検討事項チェックリスト!$B$5:$B$21,A13,着手前検討事項チェックリスト!$H$5:$H$21,"未着手")</f>
        <v/>
      </c>
      <c r="D13" s="28">
        <f>COUNTIFS(着手前検討事項チェックリスト!$B$5:$B$21,A13,着手前検討事項チェックリスト!$H$5:$H$21,"確認中")</f>
        <v/>
      </c>
      <c r="E13" s="28">
        <f>COUNTIFS(着手前検討事項チェックリスト!$B$5:$B$21,A13,着手前検討事項チェックリスト!$H$5:$H$21,"発注者協議中")</f>
        <v/>
      </c>
      <c r="F13" s="28">
        <f>COUNTIFS(着手前検討事項チェックリスト!$B$5:$B$21,A13,着手前検討事項チェックリスト!$H$5:$H$21,"完了")</f>
        <v/>
      </c>
    </row>
    <row r="14" ht="16.5" customHeight="1" s="47">
      <c r="A14" s="38" t="inlineStr">
        <is>
          <t>工程・仮設計画</t>
        </is>
      </c>
      <c r="B14" s="28">
        <f>COUNTIF(着手前検討事項チェックリスト!$B$5:$B$21,A14)</f>
        <v/>
      </c>
      <c r="C14" s="28">
        <f>COUNTIFS(着手前検討事項チェックリスト!$B$5:$B$21,A14,着手前検討事項チェックリスト!$H$5:$H$21,"未着手")</f>
        <v/>
      </c>
      <c r="D14" s="28">
        <f>COUNTIFS(着手前検討事項チェックリスト!$B$5:$B$21,A14,着手前検討事項チェックリスト!$H$5:$H$21,"確認中")</f>
        <v/>
      </c>
      <c r="E14" s="28">
        <f>COUNTIFS(着手前検討事項チェックリスト!$B$5:$B$21,A14,着手前検討事項チェックリスト!$H$5:$H$21,"発注者協議中")</f>
        <v/>
      </c>
      <c r="F14" s="28">
        <f>COUNTIFS(着手前検討事項チェックリスト!$B$5:$B$21,A14,着手前検討事項チェックリスト!$H$5:$H$21,"完了")</f>
        <v/>
      </c>
    </row>
    <row r="15" ht="16.5" customHeight="1" s="47">
      <c r="A15" s="39" t="inlineStr">
        <is>
          <t>働き方改革</t>
        </is>
      </c>
      <c r="B15" s="28">
        <f>COUNTIF(着手前検討事項チェックリスト!$B$5:$B$21,A15)</f>
        <v/>
      </c>
      <c r="C15" s="28">
        <f>COUNTIFS(着手前検討事項チェックリスト!$B$5:$B$21,A15,着手前検討事項チェックリスト!$H$5:$H$21,"未着手")</f>
        <v/>
      </c>
      <c r="D15" s="28">
        <f>COUNTIFS(着手前検討事項チェックリスト!$B$5:$B$21,A15,着手前検討事項チェックリスト!$H$5:$H$21,"確認中")</f>
        <v/>
      </c>
      <c r="E15" s="28">
        <f>COUNTIFS(着手前検討事項チェックリスト!$B$5:$B$21,A15,着手前検討事項チェックリスト!$H$5:$H$21,"発注者協議中")</f>
        <v/>
      </c>
      <c r="F15" s="28">
        <f>COUNTIFS(着手前検討事項チェックリスト!$B$5:$B$21,A15,着手前検討事項チェックリスト!$H$5:$H$21,"完了")</f>
        <v/>
      </c>
    </row>
    <row r="16" ht="16.5" customHeight="1" s="47">
      <c r="A16" s="40" t="inlineStr">
        <is>
          <t>書類関連</t>
        </is>
      </c>
      <c r="B16" s="28">
        <f>COUNTIF(着手前検討事項チェックリスト!$B$5:$B$21,A16)</f>
        <v/>
      </c>
      <c r="C16" s="28">
        <f>COUNTIFS(着手前検討事項チェックリスト!$B$5:$B$21,A16,着手前検討事項チェックリスト!$H$5:$H$21,"未着手")</f>
        <v/>
      </c>
      <c r="D16" s="28">
        <f>COUNTIFS(着手前検討事項チェックリスト!$B$5:$B$21,A16,着手前検討事項チェックリスト!$H$5:$H$21,"確認中")</f>
        <v/>
      </c>
      <c r="E16" s="28">
        <f>COUNTIFS(着手前検討事項チェックリスト!$B$5:$B$21,A16,着手前検討事項チェックリスト!$H$5:$H$21,"発注者協議中")</f>
        <v/>
      </c>
      <c r="F16" s="28">
        <f>COUNTIFS(着手前検討事項チェックリスト!$B$5:$B$21,A16,着手前検討事項チェックリスト!$H$5:$H$21,"完了")</f>
        <v/>
      </c>
    </row>
    <row r="17" ht="16.5" customHeight="1" s="47">
      <c r="A17" s="52" t="inlineStr">
        <is>
          <t>合計</t>
        </is>
      </c>
      <c r="B17" s="3">
        <f>SUM(B4:B16)</f>
        <v/>
      </c>
      <c r="C17" s="3">
        <f>SUM(C4:C16)</f>
        <v/>
      </c>
      <c r="D17" s="3">
        <f>SUM(D4:D16)</f>
        <v/>
      </c>
      <c r="E17" s="3">
        <f>SUM(E4:E16)</f>
        <v/>
      </c>
      <c r="F17" s="3">
        <f>SUM(F4:F16)</f>
        <v/>
      </c>
    </row>
    <row r="19" ht="16.5" customHeight="1" s="47">
      <c r="A19" s="51" t="inlineStr">
        <is>
          <t>※本シートの数値は「着手前検討事項チェックリスト」シートH列（状況）の入力に連動して自動更新されます。</t>
        </is>
      </c>
    </row>
  </sheetData>
  <mergeCells count="2">
    <mergeCell ref="A19:F19"/>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showGridLines="0" workbookViewId="0">
      <pane ySplit="3" topLeftCell="A4" activePane="bottomLeft" state="frozen"/>
      <selection pane="bottomLeft" activeCell="I6" sqref="I6"/>
    </sheetView>
  </sheetViews>
  <sheetFormatPr baseColWidth="8" defaultRowHeight="13.5"/>
  <cols>
    <col width="16" customWidth="1" style="47" min="1" max="1"/>
    <col width="14" customWidth="1" style="47" min="2" max="2"/>
    <col width="24" customWidth="1" style="47" min="3" max="3"/>
    <col width="10" customWidth="1" style="47" min="4" max="4"/>
    <col width="6" customWidth="1" style="47" min="5" max="5"/>
    <col width="28" customWidth="1" style="47" min="6" max="6"/>
  </cols>
  <sheetData>
    <row r="1" ht="24" customHeight="1" s="47">
      <c r="A1" s="50" t="inlineStr">
        <is>
          <t>工区別　主要数量一覧（数量計算書・本工事費内訳書より抜粋）</t>
        </is>
      </c>
    </row>
    <row r="3" ht="21.95" customHeight="1" s="47">
      <c r="A3" s="4" t="inlineStr">
        <is>
          <t>工区</t>
        </is>
      </c>
      <c r="B3" s="4" t="inlineStr">
        <is>
          <t>工種</t>
        </is>
      </c>
      <c r="C3" s="4" t="inlineStr">
        <is>
          <t>細別</t>
        </is>
      </c>
      <c r="D3" s="4" t="inlineStr">
        <is>
          <t>設計数量</t>
        </is>
      </c>
      <c r="E3" s="4" t="inlineStr">
        <is>
          <t>単位</t>
        </is>
      </c>
      <c r="F3" s="4" t="inlineStr">
        <is>
          <t>摘要</t>
        </is>
      </c>
    </row>
    <row r="4" ht="33" customHeight="1" s="47">
      <c r="A4" s="28" t="inlineStr">
        <is>
          <t>本工事1
（006宇川）</t>
        </is>
      </c>
      <c r="B4" s="28" t="inlineStr">
        <is>
          <t>河川土工</t>
        </is>
      </c>
      <c r="C4" s="48" t="inlineStr">
        <is>
          <t>掘削（浚渫工区①下流側＋工区②上流側）</t>
        </is>
      </c>
      <c r="D4" s="28" t="n">
        <v>1400</v>
      </c>
      <c r="E4" s="28" t="inlineStr">
        <is>
          <t>m3</t>
        </is>
      </c>
      <c r="F4" s="48" t="inlineStr">
        <is>
          <t>工区①720m3＋工区②720m3、各L=200m</t>
        </is>
      </c>
    </row>
    <row r="5" ht="33" customHeight="1" s="47">
      <c r="A5" s="28" t="inlineStr">
        <is>
          <t>本工事1
（006宇川）</t>
        </is>
      </c>
      <c r="B5" s="28" t="inlineStr">
        <is>
          <t>残土処理工</t>
        </is>
      </c>
      <c r="C5" s="48" t="inlineStr">
        <is>
          <t>残土処分（工区①）</t>
        </is>
      </c>
      <c r="D5" s="28" t="n">
        <v>740</v>
      </c>
      <c r="E5" s="28" t="inlineStr">
        <is>
          <t>m3</t>
        </is>
      </c>
      <c r="F5" s="48" t="inlineStr">
        <is>
          <t>計算値742m3</t>
        </is>
      </c>
    </row>
    <row r="6" ht="33" customHeight="1" s="47">
      <c r="A6" s="28" t="inlineStr">
        <is>
          <t>本工事1
（006宇川）</t>
        </is>
      </c>
      <c r="B6" s="28" t="inlineStr">
        <is>
          <t>残土処理工</t>
        </is>
      </c>
      <c r="C6" s="48" t="inlineStr">
        <is>
          <t>残土処分（工区②）</t>
        </is>
      </c>
      <c r="D6" s="28" t="n">
        <v>690</v>
      </c>
      <c r="E6" s="28" t="inlineStr">
        <is>
          <t>m3</t>
        </is>
      </c>
      <c r="F6" s="48" t="inlineStr">
        <is>
          <t>計算値698m3、うち22m3は工区①へ運搬L=0.9km</t>
        </is>
      </c>
    </row>
    <row r="7" ht="33" customHeight="1" s="47">
      <c r="A7" s="28" t="inlineStr">
        <is>
          <t>本工事1
（006宇川）</t>
        </is>
      </c>
      <c r="B7" s="28" t="inlineStr">
        <is>
          <t>仮設工</t>
        </is>
      </c>
      <c r="C7" s="48" t="inlineStr">
        <is>
          <t>工事用道路盛土（工区①のみ）</t>
        </is>
      </c>
      <c r="D7" s="28" t="n">
        <v>19</v>
      </c>
      <c r="E7" s="28" t="inlineStr">
        <is>
          <t>m3</t>
        </is>
      </c>
      <c r="F7" s="48" t="inlineStr">
        <is>
          <t>流用土</t>
        </is>
      </c>
    </row>
    <row r="8" ht="33" customHeight="1" s="47">
      <c r="A8" s="28" t="inlineStr">
        <is>
          <t>本工事1
（006宇川）</t>
        </is>
      </c>
      <c r="B8" s="28" t="inlineStr">
        <is>
          <t>交通管理工</t>
        </is>
      </c>
      <c r="C8" s="48" t="inlineStr">
        <is>
          <t>交通誘導警備員</t>
        </is>
      </c>
      <c r="D8" s="28" t="n">
        <v>14</v>
      </c>
      <c r="E8" s="28" t="inlineStr">
        <is>
          <t>人日</t>
        </is>
      </c>
      <c r="F8" s="48" t="inlineStr">
        <is>
          <t>検定合格者不要</t>
        </is>
      </c>
    </row>
    <row r="9" ht="33" customHeight="1" s="47">
      <c r="A9" s="28" t="inlineStr">
        <is>
          <t>本工事2
（014(097)宇川）</t>
        </is>
      </c>
      <c r="B9" s="28" t="inlineStr">
        <is>
          <t>河川土工</t>
        </is>
      </c>
      <c r="C9" s="48" t="inlineStr">
        <is>
          <t>掘削（浚渫北側＋浚渫南側）</t>
        </is>
      </c>
      <c r="D9" s="28" t="n">
        <v>1300</v>
      </c>
      <c r="E9" s="28" t="inlineStr">
        <is>
          <t>m3</t>
        </is>
      </c>
      <c r="F9" s="48" t="inlineStr">
        <is>
          <t>各L=200m</t>
        </is>
      </c>
    </row>
    <row r="10" ht="33" customHeight="1" s="47">
      <c r="A10" s="28" t="inlineStr">
        <is>
          <t>本工事2
（014(097)宇川）</t>
        </is>
      </c>
      <c r="B10" s="28" t="inlineStr">
        <is>
          <t>残土処理工</t>
        </is>
      </c>
      <c r="C10" s="48" t="inlineStr">
        <is>
          <t>残土処分</t>
        </is>
      </c>
      <c r="D10" s="28" t="n">
        <v>1340</v>
      </c>
      <c r="E10" s="28" t="inlineStr">
        <is>
          <t>m3</t>
        </is>
      </c>
      <c r="F10" s="48" t="inlineStr">
        <is>
          <t>伊根町処分場、L=12.5km</t>
        </is>
      </c>
    </row>
    <row r="11" ht="33" customHeight="1" s="47">
      <c r="A11" s="28" t="inlineStr">
        <is>
          <t>本工事2
（014(097)宇川）</t>
        </is>
      </c>
      <c r="B11" s="28" t="inlineStr">
        <is>
          <t>交通管理工</t>
        </is>
      </c>
      <c r="C11" s="48" t="inlineStr">
        <is>
          <t>交通誘導警備員</t>
        </is>
      </c>
      <c r="D11" s="28" t="n">
        <v>13</v>
      </c>
      <c r="E11" s="28" t="inlineStr">
        <is>
          <t>人日</t>
        </is>
      </c>
      <c r="F11" s="48" t="inlineStr">
        <is>
          <t>検定合格者不要</t>
        </is>
      </c>
    </row>
    <row r="12" ht="16.5" customHeight="1" s="47">
      <c r="A12" s="52" t="inlineStr">
        <is>
          <t>合計延長（設計書より）</t>
        </is>
      </c>
      <c r="B12" s="55" t="n"/>
      <c r="C12" s="56" t="n"/>
      <c r="D12" s="52" t="n">
        <v>600</v>
      </c>
      <c r="E12" s="52" t="inlineStr">
        <is>
          <t>m</t>
        </is>
      </c>
      <c r="F12" s="42" t="inlineStr">
        <is>
          <t>工事設計書（参考資料）記載値</t>
        </is>
      </c>
    </row>
  </sheetData>
  <mergeCells count="2">
    <mergeCell ref="A12:C1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showGridLines="0" tabSelected="1" workbookViewId="0">
      <pane ySplit="4" topLeftCell="A5" activePane="bottomLeft" state="frozen"/>
      <selection pane="bottomLeft" activeCell="G7" sqref="G7"/>
    </sheetView>
  </sheetViews>
  <sheetFormatPr baseColWidth="8" defaultRowHeight="13.5"/>
  <cols>
    <col width="6" customWidth="1" style="47" min="1" max="1"/>
    <col width="14" customWidth="1" style="47" min="2" max="2"/>
    <col width="26" customWidth="1" style="47" min="3" max="3"/>
    <col width="50" customWidth="1" style="47" min="4" max="4"/>
    <col width="22" customWidth="1" style="47" min="5" max="5"/>
    <col width="30" customWidth="1" style="47" min="6" max="6"/>
  </cols>
  <sheetData>
    <row r="1" ht="24" customHeight="1" s="47">
      <c r="A1" s="50" t="inlineStr">
        <is>
          <t>地元立会・地元調整が必要な事項</t>
        </is>
      </c>
    </row>
    <row r="2" ht="16.5" customHeight="1" s="47">
      <c r="A2" s="53" t="inlineStr">
        <is>
          <t>【重要】列に「◎」がある項目は、特記仕様書等により地元・漁協等との事前調整が施工の前提条件となっている最優先事項。</t>
        </is>
      </c>
    </row>
    <row r="4" ht="21.95" customHeight="1" s="47">
      <c r="A4" s="4" t="inlineStr">
        <is>
          <t>重要</t>
        </is>
      </c>
      <c r="B4" s="4" t="inlineStr">
        <is>
          <t>工区</t>
        </is>
      </c>
      <c r="C4" s="4" t="inlineStr">
        <is>
          <t>立会・調整が必要な事項</t>
        </is>
      </c>
      <c r="D4" s="4" t="inlineStr">
        <is>
          <t>内容</t>
        </is>
      </c>
      <c r="E4" s="4" t="inlineStr">
        <is>
          <t>相手方</t>
        </is>
      </c>
      <c r="F4" s="4" t="inlineStr">
        <is>
          <t>根拠</t>
        </is>
      </c>
    </row>
    <row r="5" ht="56.1" customHeight="1" s="47">
      <c r="A5" s="28" t="n"/>
      <c r="B5" s="28" t="inlineStr">
        <is>
          <t>全工区</t>
        </is>
      </c>
      <c r="C5" s="48" t="inlineStr">
        <is>
          <t>工事着手前の地元立合</t>
        </is>
      </c>
      <c r="D5" s="48" t="inlineStr">
        <is>
          <t>「現場については、地元立合後に着手すること」と特記仕様書に明記。着手前工程に地元立会の日程を確保する必要がある。</t>
        </is>
      </c>
      <c r="E5" s="48" t="inlineStr">
        <is>
          <t>地元関係者</t>
        </is>
      </c>
      <c r="F5" s="48" t="inlineStr">
        <is>
          <t>特記仕様書2-1</t>
        </is>
      </c>
    </row>
    <row r="6" ht="90" customHeight="1" s="47">
      <c r="A6" s="43" t="inlineStr">
        <is>
          <t>◎</t>
        </is>
      </c>
      <c r="B6" s="43" t="inlineStr">
        <is>
          <t>全工区
（本工事1・2）</t>
        </is>
      </c>
      <c r="C6" s="44" t="inlineStr">
        <is>
          <t>鮎の漁期・産卵期を避けた施工時期の漁協・地元調整</t>
        </is>
      </c>
      <c r="D6" s="45" t="inlineStr">
        <is>
          <t>鮎の漁期（4月～9月）・産卵期（10月～12月下旬）に重ならないよう、野間漁業協同組合・上宇川漁業協同組合、地元自治会と調整のうえ現場着手すること、と特記仕様書に明記。他の全ての地元立会・着手準備に先立ち、契約後直ちに最優先で調整に着手する必要がある（実質的な施工可能時期が限られるため）。</t>
        </is>
      </c>
      <c r="E6" s="45" t="inlineStr">
        <is>
          <t>野間漁業協同組合／上宇川漁業協同組合／地元自治会</t>
        </is>
      </c>
      <c r="F6" s="45" t="inlineStr">
        <is>
          <t>特記仕様書6-2（宇川の施工時期について）</t>
        </is>
      </c>
    </row>
    <row r="7" ht="56.1" customHeight="1" s="47">
      <c r="A7" s="28" t="n"/>
      <c r="B7" s="28" t="inlineStr">
        <is>
          <t>全工区</t>
        </is>
      </c>
      <c r="C7" s="48" t="inlineStr">
        <is>
          <t>濁水発生に伴う河川利用者（漁業関係者含む）との事前調整</t>
        </is>
      </c>
      <c r="D7" s="48" t="inlineStr">
        <is>
          <t>浚渫は水中掘削となり濁水が発生するため、河川水等の利用者とトラブルがないよう事前に調整する。漁協との施工時期調整と合わせて実施すると効率的。</t>
        </is>
      </c>
      <c r="E7" s="48" t="inlineStr">
        <is>
          <t>河川利用者・漁業協同組合</t>
        </is>
      </c>
      <c r="F7" s="48" t="inlineStr">
        <is>
          <t>河川浚渫工事に関する特記事項（施工準備等）</t>
        </is>
      </c>
    </row>
    <row r="8" ht="56.1" customHeight="1" s="47">
      <c r="A8" s="28" t="n"/>
      <c r="B8" s="28" t="inlineStr">
        <is>
          <t>本工事1
（006宇川）</t>
        </is>
      </c>
      <c r="C8" s="48" t="inlineStr">
        <is>
          <t>工区②→工区①土砂運搬（L=0.9km）に伴う近隣周知（該当する場合）</t>
        </is>
      </c>
      <c r="D8" s="48" t="inlineStr">
        <is>
          <t>工区②の残土の一部（22.0m3）を工区①側へ運搬する計画。運搬ルートが近隣を通行する場合は周知する。</t>
        </is>
      </c>
      <c r="E8" s="48" t="inlineStr">
        <is>
          <t>近隣住民</t>
        </is>
      </c>
      <c r="F8" s="48" t="inlineStr">
        <is>
          <t>数量計算書（本工事1）</t>
        </is>
      </c>
    </row>
    <row r="9" ht="56.1" customHeight="1" s="47">
      <c r="A9" s="28" t="n"/>
      <c r="B9" s="28" t="inlineStr">
        <is>
          <t>全工区</t>
        </is>
      </c>
      <c r="C9" s="48" t="inlineStr">
        <is>
          <t>伊根町公共残土処分場での重機降り口・残土搬出位置の現地確認（調整漏れ）</t>
        </is>
      </c>
      <c r="D9" s="48" t="inlineStr">
        <is>
          <t>処分場への重機の降り口及び残土の搬出位置が未調整。処分場管理者と現地で立会・確認し、進入経路・転回場所とあわせて決定する。</t>
        </is>
      </c>
      <c r="E9" s="48" t="inlineStr">
        <is>
          <t>伊根町（処分場管理者）</t>
        </is>
      </c>
      <c r="F9" s="48" t="inlineStr">
        <is>
          <t>特記仕様書3-8／現場指摘による追加項目</t>
        </is>
      </c>
    </row>
  </sheetData>
  <autoFilter ref="A4:F8"/>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2026-09-22T03:32:10Z</dcterms:created>
  <dcterms:modified xsi:type="dcterms:W3CDTF">2026-09-23T00:23:42Z</dcterms:modified>
  <cp:lastModifiedBy>隆一 野村</cp:lastModifiedBy>
</cp:coreProperties>
</file>