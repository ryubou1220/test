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チェックリスト" sheetId="1" state="visible" r:id="rId3"/>
    <sheet name="作業中止基準" sheetId="2" state="visible" r:id="rId4"/>
    <sheet name="是正記録" sheetId="3" state="visible" r:id="rId5"/>
    <sheet name="使い方・根拠法令" sheetId="4" state="visible" r:id="rId6"/>
  </sheets>
  <definedNames>
    <definedName function="false" hidden="false" localSheetId="0" name="_xlnm.Print_Titles" vbProcedure="false">チェックリスト!$19:$19</definedName>
    <definedName function="false" hidden="false" localSheetId="2" name="_xlnm.Print_Titles" vbProcedure="false">是正記録!$4:$4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<sst xmlns="http://schemas.openxmlformats.org/spreadsheetml/2006/main" count="340" uniqueCount="338">
  <si>
    <t xml:space="preserve">橋梁新設工事 安全対策チェックリスト（案）</t>
  </si>
  <si>
    <t xml:space="preserve">工事名</t>
  </si>
  <si>
    <t xml:space="preserve">施工箇所</t>
  </si>
  <si>
    <t xml:space="preserve">点検日</t>
  </si>
  <si>
    <t xml:space="preserve">点検者（職・氏名）</t>
  </si>
  <si>
    <t xml:space="preserve">立会者</t>
  </si>
  <si>
    <t xml:space="preserve">当日の主な作業</t>
  </si>
  <si>
    <t xml:space="preserve">集計</t>
  </si>
  <si>
    <t xml:space="preserve">○</t>
  </si>
  <si>
    <t xml:space="preserve">○ 適正</t>
  </si>
  <si>
    <t xml:space="preserve">×</t>
  </si>
  <si>
    <r>
      <rPr>
        <sz val="10"/>
        <color rgb="FF000000"/>
        <rFont val="游ゴシック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不適</t>
    </r>
  </si>
  <si>
    <t xml:space="preserve">－</t>
  </si>
  <si>
    <t xml:space="preserve">－ 該当なし</t>
  </si>
  <si>
    <t xml:space="preserve">未</t>
  </si>
  <si>
    <t xml:space="preserve">未記入</t>
  </si>
  <si>
    <t xml:space="preserve">計</t>
  </si>
  <si>
    <t xml:space="preserve">全項目数</t>
  </si>
  <si>
    <r>
      <rPr>
        <sz val="9"/>
        <color rgb="FF595959"/>
        <rFont val="WenQuanYi Zen Hei"/>
        <family val="2"/>
      </rPr>
      <t xml:space="preserve">判定欄は ○・</t>
    </r>
    <r>
      <rPr>
        <sz val="9"/>
        <color rgb="FF595959"/>
        <rFont val="游ゴシック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・－ をリストから選択。</t>
    </r>
    <r>
      <rPr>
        <sz val="9"/>
        <color rgb="FF595959"/>
        <rFont val="游ゴシック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の項目は「是正記録」シートに転記する。黄色のセルが記入欄。</t>
    </r>
  </si>
  <si>
    <t xml:space="preserve">No.</t>
  </si>
  <si>
    <t xml:space="preserve">点検項目</t>
  </si>
  <si>
    <t xml:space="preserve">判定</t>
  </si>
  <si>
    <t xml:space="preserve">是正内容・備考</t>
  </si>
  <si>
    <r>
      <rPr>
        <b val="true"/>
        <sz val="10"/>
        <color rgb="FF000000"/>
        <rFont val="游ゴシック"/>
        <family val="0"/>
        <charset val="1"/>
      </rPr>
      <t xml:space="preserve">1. </t>
    </r>
    <r>
      <rPr>
        <b val="true"/>
        <sz val="10"/>
        <color rgb="FF000000"/>
        <rFont val="WenQuanYi Zen Hei"/>
        <family val="2"/>
      </rPr>
      <t xml:space="preserve">共通・安全管理体制</t>
    </r>
  </si>
  <si>
    <t xml:space="preserve">1-1</t>
  </si>
  <si>
    <t xml:space="preserve">施工計画書・作業手順書があり、当日の作業内容と合っている</t>
  </si>
  <si>
    <t xml:space="preserve">1-2</t>
  </si>
  <si>
    <t xml:space="preserve">元請・協力会社の安全管理体制表と緊急連絡網が現場に掲示されている</t>
  </si>
  <si>
    <t xml:space="preserve">1-3</t>
  </si>
  <si>
    <t xml:space="preserve">新規入場者教育を実施し、記録を残している</t>
  </si>
  <si>
    <t xml:space="preserve">1-4</t>
  </si>
  <si>
    <r>
      <rPr>
        <sz val="10"/>
        <color rgb="FF000000"/>
        <rFont val="WenQuanYi Zen Hei"/>
        <family val="2"/>
      </rPr>
      <t xml:space="preserve">朝礼・</t>
    </r>
    <r>
      <rPr>
        <sz val="10"/>
        <color rgb="FF000000"/>
        <rFont val="游ゴシック"/>
        <family val="0"/>
        <charset val="1"/>
      </rPr>
      <t xml:space="preserve">TBM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游ゴシック"/>
        <family val="0"/>
        <charset val="1"/>
      </rPr>
      <t xml:space="preserve">KY</t>
    </r>
    <r>
      <rPr>
        <sz val="10"/>
        <color rgb="FF000000"/>
        <rFont val="WenQuanYi Zen Hei"/>
        <family val="2"/>
      </rPr>
      <t xml:space="preserve">活動で当日の危険と対策を全員で確認している</t>
    </r>
  </si>
  <si>
    <t xml:space="preserve">1-5</t>
  </si>
  <si>
    <t xml:space="preserve">必要な作業主任者を選任し、氏名と職務を掲示している（足場、地山掘削、土止め支保工、型枠支保工、鋼橋・コンクリート橋架設など）</t>
  </si>
  <si>
    <t xml:space="preserve">1-6</t>
  </si>
  <si>
    <t xml:space="preserve">資格が必要な作業は、有資格者が従事し、資格証の写しを揃えている</t>
  </si>
  <si>
    <t xml:space="preserve">1-7</t>
  </si>
  <si>
    <t xml:space="preserve">保護具（ヘルメット、フルハーネス、安全靴、保護メガネなど）を正しく着用している</t>
  </si>
  <si>
    <t xml:space="preserve">1-8</t>
  </si>
  <si>
    <t xml:space="preserve">作業員の体調を朝に確認している（睡眠不足、飲酒、体調不良）</t>
  </si>
  <si>
    <t xml:space="preserve">1-9</t>
  </si>
  <si>
    <t xml:space="preserve">高齢者・外国人労働者・未熟練者に配慮した配置と指示をしている</t>
  </si>
  <si>
    <t xml:space="preserve">1-10</t>
  </si>
  <si>
    <r>
      <rPr>
        <sz val="10"/>
        <color rgb="FF000000"/>
        <rFont val="WenQuanYi Zen Hei"/>
        <family val="2"/>
      </rPr>
      <t xml:space="preserve">救急箱・</t>
    </r>
    <r>
      <rPr>
        <sz val="10"/>
        <color rgb="FF000000"/>
        <rFont val="游ゴシック"/>
        <family val="0"/>
        <charset val="1"/>
      </rPr>
      <t xml:space="preserve">AED</t>
    </r>
    <r>
      <rPr>
        <sz val="10"/>
        <color rgb="FF000000"/>
        <rFont val="WenQuanYi Zen Hei"/>
        <family val="2"/>
      </rPr>
      <t xml:space="preserve">の置き場所と、最寄りの病院への連絡方法を全員が知っている</t>
    </r>
  </si>
  <si>
    <t xml:space="preserve">1-11</t>
  </si>
  <si>
    <t xml:space="preserve">現場内の整理・整頓がされ、通路が確保されている</t>
  </si>
  <si>
    <t xml:space="preserve">1-12</t>
  </si>
  <si>
    <t xml:space="preserve">元請と協力会社が作業間の連絡調整（上下作業・同時作業の調整）をしている</t>
  </si>
  <si>
    <r>
      <rPr>
        <b val="true"/>
        <sz val="10"/>
        <color rgb="FF000000"/>
        <rFont val="游ゴシック"/>
        <family val="0"/>
        <charset val="1"/>
      </rPr>
      <t xml:space="preserve">2. </t>
    </r>
    <r>
      <rPr>
        <b val="true"/>
        <sz val="10"/>
        <color rgb="FF000000"/>
        <rFont val="WenQuanYi Zen Hei"/>
        <family val="2"/>
      </rPr>
      <t xml:space="preserve">仮設・足場・墜落防止</t>
    </r>
  </si>
  <si>
    <t xml:space="preserve">2-1</t>
  </si>
  <si>
    <r>
      <rPr>
        <sz val="10"/>
        <color rgb="FF000000"/>
        <rFont val="WenQuanYi Zen Hei"/>
        <family val="2"/>
      </rPr>
      <t xml:space="preserve">高さ </t>
    </r>
    <r>
      <rPr>
        <sz val="10"/>
        <color rgb="FF000000"/>
        <rFont val="游ゴシック"/>
        <family val="0"/>
        <charset val="1"/>
      </rPr>
      <t xml:space="preserve">2m </t>
    </r>
    <r>
      <rPr>
        <sz val="10"/>
        <color rgb="FF000000"/>
        <rFont val="WenQuanYi Zen Hei"/>
        <family val="2"/>
      </rPr>
      <t xml:space="preserve">以上の作業箇所に作業床がある（幅 </t>
    </r>
    <r>
      <rPr>
        <sz val="10"/>
        <color rgb="FF000000"/>
        <rFont val="游ゴシック"/>
        <family val="0"/>
        <charset val="1"/>
      </rPr>
      <t xml:space="preserve">40cm </t>
    </r>
    <r>
      <rPr>
        <sz val="10"/>
        <color rgb="FF000000"/>
        <rFont val="WenQuanYi Zen Hei"/>
        <family val="2"/>
      </rPr>
      <t xml:space="preserve">以上、床材のすき間 </t>
    </r>
    <r>
      <rPr>
        <sz val="10"/>
        <color rgb="FF000000"/>
        <rFont val="游ゴシック"/>
        <family val="0"/>
        <charset val="1"/>
      </rPr>
      <t xml:space="preserve">3cm </t>
    </r>
    <r>
      <rPr>
        <sz val="10"/>
        <color rgb="FF000000"/>
        <rFont val="WenQuanYi Zen Hei"/>
        <family val="2"/>
      </rPr>
      <t xml:space="preserve">以下）</t>
    </r>
  </si>
  <si>
    <t xml:space="preserve">2-2</t>
  </si>
  <si>
    <r>
      <rPr>
        <sz val="10"/>
        <color rgb="FF000000"/>
        <rFont val="WenQuanYi Zen Hei"/>
        <family val="2"/>
      </rPr>
      <t xml:space="preserve">足場に手すり（高さ </t>
    </r>
    <r>
      <rPr>
        <sz val="10"/>
        <color rgb="FF000000"/>
        <rFont val="游ゴシック"/>
        <family val="0"/>
        <charset val="1"/>
      </rPr>
      <t xml:space="preserve">85cm </t>
    </r>
    <r>
      <rPr>
        <sz val="10"/>
        <color rgb="FF000000"/>
        <rFont val="WenQuanYi Zen Hei"/>
        <family val="2"/>
      </rPr>
      <t xml:space="preserve">以上）と中さん（</t>
    </r>
    <r>
      <rPr>
        <sz val="10"/>
        <color rgb="FF000000"/>
        <rFont val="游ゴシック"/>
        <family val="0"/>
        <charset val="1"/>
      </rPr>
      <t xml:space="preserve">35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游ゴシック"/>
        <family val="0"/>
        <charset val="1"/>
      </rPr>
      <t xml:space="preserve">50cm</t>
    </r>
    <r>
      <rPr>
        <sz val="10"/>
        <color rgb="FF000000"/>
        <rFont val="WenQuanYi Zen Hei"/>
        <family val="2"/>
      </rPr>
      <t xml:space="preserve">）がある</t>
    </r>
  </si>
  <si>
    <t xml:space="preserve">2-3</t>
  </si>
  <si>
    <r>
      <rPr>
        <sz val="10"/>
        <color rgb="FF000000"/>
        <rFont val="WenQuanYi Zen Hei"/>
        <family val="2"/>
      </rPr>
      <t xml:space="preserve">幅木（高さ </t>
    </r>
    <r>
      <rPr>
        <sz val="10"/>
        <color rgb="FF000000"/>
        <rFont val="游ゴシック"/>
        <family val="0"/>
        <charset val="1"/>
      </rPr>
      <t xml:space="preserve">10cm </t>
    </r>
    <r>
      <rPr>
        <sz val="10"/>
        <color rgb="FF000000"/>
        <rFont val="WenQuanYi Zen Hei"/>
        <family val="2"/>
      </rPr>
      <t xml:space="preserve">以上）やメッシュシートで物の落下を防いでいる</t>
    </r>
  </si>
  <si>
    <t xml:space="preserve">2-4</t>
  </si>
  <si>
    <t xml:space="preserve">足場の壁つなぎ・控え・筋かいに外れや緩みがない</t>
  </si>
  <si>
    <t xml:space="preserve">2-5</t>
  </si>
  <si>
    <t xml:space="preserve">足場の作業開始前点検を、指名された点検者が行い、記録している</t>
  </si>
  <si>
    <t xml:space="preserve">2-6</t>
  </si>
  <si>
    <r>
      <rPr>
        <sz val="10"/>
        <color rgb="FF000000"/>
        <rFont val="WenQuanYi Zen Hei"/>
        <family val="2"/>
      </rPr>
      <t xml:space="preserve">強風・大雨・大雪・中震（震度</t>
    </r>
    <r>
      <rPr>
        <sz val="10"/>
        <color rgb="FF000000"/>
        <rFont val="游ゴシック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）以上の地震の後や、組立・変更の後に足場を点検している</t>
    </r>
  </si>
  <si>
    <t xml:space="preserve">2-7</t>
  </si>
  <si>
    <t xml:space="preserve">手すりのない箇所では、親綱を張り、フルハーネス型墜落制止用器具を使っている</t>
  </si>
  <si>
    <t xml:space="preserve">2-8</t>
  </si>
  <si>
    <t xml:space="preserve">フルハーネス使用者が特別教育を受けている</t>
  </si>
  <si>
    <t xml:space="preserve">2-9</t>
  </si>
  <si>
    <t xml:space="preserve">開口部・桁端・橋台天端に囲い・覆い・手すりがある</t>
  </si>
  <si>
    <t xml:space="preserve">2-10</t>
  </si>
  <si>
    <t xml:space="preserve">昇降設備（階段・昇降設備・はしご）があり、固定されている</t>
  </si>
  <si>
    <t xml:space="preserve">2-11</t>
  </si>
  <si>
    <t xml:space="preserve">吊り足場・張出し足場の吊り材や支持金具に損傷や外れがない</t>
  </si>
  <si>
    <t xml:space="preserve">2-12</t>
  </si>
  <si>
    <t xml:space="preserve">足場の最大積載荷重を表示し、資材を置きすぎていない</t>
  </si>
  <si>
    <t xml:space="preserve">2-13</t>
  </si>
  <si>
    <t xml:space="preserve">高所作業車は作業開始前点検をし、乗員が墜落制止用器具を使っている</t>
  </si>
  <si>
    <t xml:space="preserve">2-14</t>
  </si>
  <si>
    <t xml:space="preserve">足場の組立・解体中は立入禁止とし、作業主任者が指揮している</t>
  </si>
  <si>
    <r>
      <rPr>
        <b val="true"/>
        <sz val="10"/>
        <color rgb="FF000000"/>
        <rFont val="游ゴシック"/>
        <family val="0"/>
        <charset val="1"/>
      </rPr>
      <t xml:space="preserve">3. </t>
    </r>
    <r>
      <rPr>
        <b val="true"/>
        <sz val="10"/>
        <color rgb="FF000000"/>
        <rFont val="WenQuanYi Zen Hei"/>
        <family val="2"/>
      </rPr>
      <t xml:space="preserve">下部工（基礎・掘削・土留め・橋台・橋脚）</t>
    </r>
  </si>
  <si>
    <t xml:space="preserve">3-1</t>
  </si>
  <si>
    <t xml:space="preserve">掘削の前に、地山の状態・湧水・埋設物を調査している</t>
  </si>
  <si>
    <t xml:space="preserve">3-2</t>
  </si>
  <si>
    <t xml:space="preserve">掘削の法勾配が、地山の種類と掘削の高さに合っている</t>
  </si>
  <si>
    <t xml:space="preserve">3-3</t>
  </si>
  <si>
    <t xml:space="preserve">掘削の天端に資材や残土を置かず、重機は法肩から離れている</t>
  </si>
  <si>
    <t xml:space="preserve">3-4</t>
  </si>
  <si>
    <t xml:space="preserve">法面に亀裂・湧水・浮石がない（作業開始前と降雨後に確認）</t>
  </si>
  <si>
    <t xml:space="preserve">3-5</t>
  </si>
  <si>
    <r>
      <rPr>
        <sz val="10"/>
        <color rgb="FF000000"/>
        <rFont val="WenQuanYi Zen Hei"/>
        <family val="2"/>
      </rPr>
      <t xml:space="preserve">土止め支保工（切梁・腹起し）に変形・緩み・脱落がない（設置後 </t>
    </r>
    <r>
      <rPr>
        <sz val="10"/>
        <color rgb="FF000000"/>
        <rFont val="游ゴシック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日以内ごと、中震以上・大雨の後に点検）</t>
    </r>
  </si>
  <si>
    <t xml:space="preserve">3-6</t>
  </si>
  <si>
    <t xml:space="preserve">掘削箇所の周りに転落防止柵と昇降設備がある</t>
  </si>
  <si>
    <t xml:space="preserve">3-7</t>
  </si>
  <si>
    <t xml:space="preserve">杭打機・杭抜機の据付地盤が平坦で、敷鉄板などで転倒を防いでいる</t>
  </si>
  <si>
    <t xml:space="preserve">3-8</t>
  </si>
  <si>
    <t xml:space="preserve">杭打機の組立て・解体では、作業指揮者を置いている</t>
  </si>
  <si>
    <t xml:space="preserve">3-9</t>
  </si>
  <si>
    <t xml:space="preserve">杭打ち中は、杭やリーダーの周りを立入禁止にしている</t>
  </si>
  <si>
    <t xml:space="preserve">3-10</t>
  </si>
  <si>
    <t xml:space="preserve">型枠支保工の組立図があり、そのとおり組まれている</t>
  </si>
  <si>
    <t xml:space="preserve">3-11</t>
  </si>
  <si>
    <t xml:space="preserve">コンクリート打設中に、型枠・支保工の変形を監視する人を配置している</t>
  </si>
  <si>
    <t xml:space="preserve">3-12</t>
  </si>
  <si>
    <t xml:space="preserve">コンクリートポンプ車のブーム下を立入禁止にし、アウトリガーを最大に張り出している</t>
  </si>
  <si>
    <t xml:space="preserve">3-13</t>
  </si>
  <si>
    <t xml:space="preserve">鉄筋の端部にキャップを付け、刺さりを防いでいる</t>
  </si>
  <si>
    <t xml:space="preserve">3-14</t>
  </si>
  <si>
    <r>
      <rPr>
        <sz val="10"/>
        <color rgb="FF000000"/>
        <rFont val="WenQuanYi Zen Hei"/>
        <family val="2"/>
      </rPr>
      <t xml:space="preserve">深礎・ケーソンなどの内部に入る前に、酸素濃度（</t>
    </r>
    <r>
      <rPr>
        <sz val="10"/>
        <color rgb="FF000000"/>
        <rFont val="游ゴシック"/>
        <family val="0"/>
        <charset val="1"/>
      </rPr>
      <t xml:space="preserve">18%</t>
    </r>
    <r>
      <rPr>
        <sz val="10"/>
        <color rgb="FF000000"/>
        <rFont val="WenQuanYi Zen Hei"/>
        <family val="2"/>
      </rPr>
      <t xml:space="preserve">以上）と有害ガスを測定している</t>
    </r>
  </si>
  <si>
    <r>
      <rPr>
        <b val="true"/>
        <sz val="10"/>
        <color rgb="FF000000"/>
        <rFont val="游ゴシック"/>
        <family val="0"/>
        <charset val="1"/>
      </rPr>
      <t xml:space="preserve">4. </t>
    </r>
    <r>
      <rPr>
        <b val="true"/>
        <sz val="10"/>
        <color rgb="FF000000"/>
        <rFont val="WenQuanYi Zen Hei"/>
        <family val="2"/>
      </rPr>
      <t xml:space="preserve">上部工（架設）</t>
    </r>
  </si>
  <si>
    <t xml:space="preserve">4-1</t>
  </si>
  <si>
    <t xml:space="preserve">架設計画書（架設ステップ、吊り荷重、作業半径）があり、全員に周知している</t>
  </si>
  <si>
    <t xml:space="preserve">4-2</t>
  </si>
  <si>
    <t xml:space="preserve">鋼橋架設等またはコンクリート橋架設等の作業主任者が、現場で直接指揮している</t>
  </si>
  <si>
    <t xml:space="preserve">4-3</t>
  </si>
  <si>
    <t xml:space="preserve">移動式クレーンの定格荷重を、作業半径ごとに確認している（吊荷重量＋吊具の重量）</t>
  </si>
  <si>
    <t xml:space="preserve">4-4</t>
  </si>
  <si>
    <t xml:space="preserve">クレーンの据付地盤の耐力を確認し、敷鉄板を敷いている。アウトリガーを最大に張り出している</t>
  </si>
  <si>
    <t xml:space="preserve">4-5</t>
  </si>
  <si>
    <t xml:space="preserve">クレーンの作業開始前点検（過負荷防止装置、巻過防止装置、ブレーキ）をしている</t>
  </si>
  <si>
    <t xml:space="preserve">4-6</t>
  </si>
  <si>
    <t xml:space="preserve">クレーン運転士と玉掛け者が資格を持ち、合図者を一人に決めている</t>
  </si>
  <si>
    <t xml:space="preserve">4-7</t>
  </si>
  <si>
    <t xml:space="preserve">玉掛け用ワイヤー・シャックル・吊クランプに損傷がなく、安全係数を満たしている</t>
  </si>
  <si>
    <t xml:space="preserve">4-8</t>
  </si>
  <si>
    <t xml:space="preserve">吊り荷の下と旋回範囲を立入禁止にし、介錯ロープで荷を誘導している</t>
  </si>
  <si>
    <t xml:space="preserve">4-9</t>
  </si>
  <si>
    <t xml:space="preserve">ベント（仮支柱）の基礎と部材に沈下・傾き・変形がない</t>
  </si>
  <si>
    <t xml:space="preserve">4-10</t>
  </si>
  <si>
    <t xml:space="preserve">送出し架設では、反力・たわみ・速度を計測し、管理値を超えたら止める手順がある</t>
  </si>
  <si>
    <t xml:space="preserve">4-11</t>
  </si>
  <si>
    <t xml:space="preserve">架設桁・トラベラークレーンなどの特殊設備に、逸走・転倒の防止装置がある</t>
  </si>
  <si>
    <t xml:space="preserve">4-12</t>
  </si>
  <si>
    <t xml:space="preserve">架設した桁に、一時的な転倒防止（仮固定・横構の仮締め）をしている</t>
  </si>
  <si>
    <t xml:space="preserve">4-13</t>
  </si>
  <si>
    <t xml:space="preserve">桁上では、親綱とフルハーネスを使い、移動中も常にどこかに掛けている</t>
  </si>
  <si>
    <t xml:space="preserve">4-14</t>
  </si>
  <si>
    <t xml:space="preserve">床版の型枠・支保工や、張出し床版の端部に手すりがある</t>
  </si>
  <si>
    <t xml:space="preserve">4-15</t>
  </si>
  <si>
    <r>
      <rPr>
        <sz val="10"/>
        <color rgb="FF000000"/>
        <rFont val="游ゴシック"/>
        <family val="0"/>
        <charset val="1"/>
      </rPr>
      <t xml:space="preserve">PC</t>
    </r>
    <r>
      <rPr>
        <sz val="10"/>
        <color rgb="FF000000"/>
        <rFont val="WenQuanYi Zen Hei"/>
        <family val="2"/>
      </rPr>
      <t xml:space="preserve">緊張作業中は、ジャッキの後方を立入禁止にし、防護板を置いている</t>
    </r>
  </si>
  <si>
    <t xml:space="preserve">4-16</t>
  </si>
  <si>
    <t xml:space="preserve">ボルト締め・溶接などで使う工具に落下防止のヒモを付けている</t>
  </si>
  <si>
    <r>
      <rPr>
        <b val="true"/>
        <sz val="10"/>
        <color rgb="FF000000"/>
        <rFont val="游ゴシック"/>
        <family val="0"/>
        <charset val="1"/>
      </rPr>
      <t xml:space="preserve">5. </t>
    </r>
    <r>
      <rPr>
        <b val="true"/>
        <sz val="10"/>
        <color rgb="FF000000"/>
        <rFont val="WenQuanYi Zen Hei"/>
        <family val="2"/>
      </rPr>
      <t xml:space="preserve">河川・水上作業</t>
    </r>
  </si>
  <si>
    <t xml:space="preserve">5-1</t>
  </si>
  <si>
    <t xml:space="preserve">出水時の退避基準（水位、雨量、警報・注意報）を数字で決め、掲示している</t>
  </si>
  <si>
    <t xml:space="preserve">5-2</t>
  </si>
  <si>
    <t xml:space="preserve">上流の水位観測所・雨量を、作業中に定期的に確認している</t>
  </si>
  <si>
    <t xml:space="preserve">5-3</t>
  </si>
  <si>
    <t xml:space="preserve">退避経路と退避場所を決め、全員が知っている</t>
  </si>
  <si>
    <t xml:space="preserve">5-4</t>
  </si>
  <si>
    <t xml:space="preserve">河川内に置いた重機・資材を、出水の前に撤去する手順がある</t>
  </si>
  <si>
    <t xml:space="preserve">5-5</t>
  </si>
  <si>
    <t xml:space="preserve">仮締切・仮橋に洗掘・変形・漏水がない</t>
  </si>
  <si>
    <t xml:space="preserve">5-6</t>
  </si>
  <si>
    <t xml:space="preserve">水辺・水上で作業する人が救命胴衣を着ている</t>
  </si>
  <si>
    <t xml:space="preserve">5-7</t>
  </si>
  <si>
    <t xml:space="preserve">救命浮環・ロープ・救命ボートを用意し、監視人を置いている</t>
  </si>
  <si>
    <t xml:space="preserve">5-8</t>
  </si>
  <si>
    <t xml:space="preserve">作業船は定員・積載量を守り、係留が確実にされている</t>
  </si>
  <si>
    <t xml:space="preserve">5-9</t>
  </si>
  <si>
    <t xml:space="preserve">河川管理者の占用許可条件（作業期間・出水期の制限）を守っている</t>
  </si>
  <si>
    <t xml:space="preserve">5-10</t>
  </si>
  <si>
    <t xml:space="preserve">濁水・油の流出を防ぐ対策（汚濁防止膜、オイルフェンス）をしている</t>
  </si>
  <si>
    <r>
      <rPr>
        <b val="true"/>
        <sz val="10"/>
        <color rgb="FF000000"/>
        <rFont val="游ゴシック"/>
        <family val="0"/>
        <charset val="1"/>
      </rPr>
      <t xml:space="preserve">6. </t>
    </r>
    <r>
      <rPr>
        <b val="true"/>
        <sz val="10"/>
        <color rgb="FF000000"/>
        <rFont val="WenQuanYi Zen Hei"/>
        <family val="2"/>
      </rPr>
      <t xml:space="preserve">重機・車両・電気・火気</t>
    </r>
  </si>
  <si>
    <t xml:space="preserve">6-1</t>
  </si>
  <si>
    <t xml:space="preserve">車両系建設機械の作業計画（機種、運行経路、作業方法）を作り、周知している</t>
  </si>
  <si>
    <t xml:space="preserve">6-2</t>
  </si>
  <si>
    <t xml:space="preserve">運転者が資格を持ち、作業開始前点検をしている</t>
  </si>
  <si>
    <t xml:space="preserve">6-3</t>
  </si>
  <si>
    <t xml:space="preserve">重機の作業半径内を立入禁止にし、誘導員を配置している</t>
  </si>
  <si>
    <t xml:space="preserve">6-4</t>
  </si>
  <si>
    <t xml:space="preserve">後退時の警報装置・接近警報装置が動いている</t>
  </si>
  <si>
    <t xml:space="preserve">6-5</t>
  </si>
  <si>
    <t xml:space="preserve">バックホウで荷を吊るときは、クレーン機能付きの機種を使い、用途外使用をしていない</t>
  </si>
  <si>
    <t xml:space="preserve">6-6</t>
  </si>
  <si>
    <t xml:space="preserve">路肩・法肩での転落を防ぐため、路肩の表示や車止めがある</t>
  </si>
  <si>
    <t xml:space="preserve">6-7</t>
  </si>
  <si>
    <t xml:space="preserve">架空線の位置を確認し、離隔距離の確保、防護管の設置、監視人の配置をしている</t>
  </si>
  <si>
    <t xml:space="preserve">6-8</t>
  </si>
  <si>
    <t xml:space="preserve">地下埋設物（ガス・水道・通信・電力）を管理者と確認し、試掘している</t>
  </si>
  <si>
    <t xml:space="preserve">6-9</t>
  </si>
  <si>
    <t xml:space="preserve">仮設電気設備に漏電遮断器とアースがある</t>
  </si>
  <si>
    <t xml:space="preserve">6-10</t>
  </si>
  <si>
    <t xml:space="preserve">ケーブルに損傷がなく、通路を横切る箇所は防護している</t>
  </si>
  <si>
    <t xml:space="preserve">6-11</t>
  </si>
  <si>
    <t xml:space="preserve">交流アーク溶接機に自動電撃防止装置があり、動作を確認している</t>
  </si>
  <si>
    <t xml:space="preserve">6-12</t>
  </si>
  <si>
    <t xml:space="preserve">溶接・ガス切断の周りに燃えやすい物がなく、消火器と火花よけを置いている</t>
  </si>
  <si>
    <t xml:space="preserve">6-13</t>
  </si>
  <si>
    <t xml:space="preserve">ガスボンベを立てて固定し、直射日光を避けている</t>
  </si>
  <si>
    <t xml:space="preserve">6-14</t>
  </si>
  <si>
    <t xml:space="preserve">閉じた場所（箱桁の中など）で作業するときは、換気と酸素・有害ガスの測定をしている</t>
  </si>
  <si>
    <t xml:space="preserve">6-15</t>
  </si>
  <si>
    <t xml:space="preserve">エンジン発電機などを屋内や箱桁の中で使っていない（一酸化炭素中毒の防止）</t>
  </si>
  <si>
    <r>
      <rPr>
        <b val="true"/>
        <sz val="10"/>
        <color rgb="FF000000"/>
        <rFont val="游ゴシック"/>
        <family val="0"/>
        <charset val="1"/>
      </rPr>
      <t xml:space="preserve">7. </t>
    </r>
    <r>
      <rPr>
        <b val="true"/>
        <sz val="10"/>
        <color rgb="FF000000"/>
        <rFont val="WenQuanYi Zen Hei"/>
        <family val="2"/>
      </rPr>
      <t xml:space="preserve">第三者災害防止・交通誘導</t>
    </r>
  </si>
  <si>
    <t xml:space="preserve">7-1</t>
  </si>
  <si>
    <t xml:space="preserve">現場の周りを仮囲いで囲い、部外者が入れないようにしている</t>
  </si>
  <si>
    <t xml:space="preserve">7-2</t>
  </si>
  <si>
    <t xml:space="preserve">道路使用許可・占用許可の条件（時間帯、規制方法）を守っている</t>
  </si>
  <si>
    <t xml:space="preserve">7-3</t>
  </si>
  <si>
    <t xml:space="preserve">交通規制の標識・バリケード・保安灯を、許可された規制図どおりに置いている</t>
  </si>
  <si>
    <t xml:space="preserve">7-4</t>
  </si>
  <si>
    <t xml:space="preserve">交通誘導警備員を必要な人数だけ配置している（検定合格警備員が必要な路線かを確認）</t>
  </si>
  <si>
    <t xml:space="preserve">7-5</t>
  </si>
  <si>
    <t xml:space="preserve">歩行者・自転車の通路を確保し、安全に誘導している</t>
  </si>
  <si>
    <t xml:space="preserve">7-6</t>
  </si>
  <si>
    <t xml:space="preserve">既設道路の上や近くで吊り作業をするときは、一時的に通行を止めている</t>
  </si>
  <si>
    <t xml:space="preserve">7-7</t>
  </si>
  <si>
    <t xml:space="preserve">桁下や道路の上に、落下物防護のための防護棚・防護ネットがある</t>
  </si>
  <si>
    <t xml:space="preserve">7-8</t>
  </si>
  <si>
    <t xml:space="preserve">工事車両が出入口で一旦停止し、誘導員が案内している</t>
  </si>
  <si>
    <t xml:space="preserve">7-9</t>
  </si>
  <si>
    <t xml:space="preserve">工事用道路の無理な走行（進入時の速度超過、過積載）をしていない</t>
  </si>
  <si>
    <t xml:space="preserve">7-10</t>
  </si>
  <si>
    <t xml:space="preserve">工事車両のタイヤ洗浄や散水で、泥や粉じんを外に出していない</t>
  </si>
  <si>
    <t xml:space="preserve">7-11</t>
  </si>
  <si>
    <t xml:space="preserve">作業終了後に、仮囲いの施錠、重機のキー管理、開口部の閉鎖をしている</t>
  </si>
  <si>
    <t xml:space="preserve">7-12</t>
  </si>
  <si>
    <t xml:space="preserve">近隣へ作業内容・時間を事前に知らせ、騒音・振動を抑えている</t>
  </si>
  <si>
    <r>
      <rPr>
        <b val="true"/>
        <sz val="10"/>
        <color rgb="FF000000"/>
        <rFont val="游ゴシック"/>
        <family val="0"/>
        <charset val="1"/>
      </rPr>
      <t xml:space="preserve">8. </t>
    </r>
    <r>
      <rPr>
        <b val="true"/>
        <sz val="10"/>
        <color rgb="FF000000"/>
        <rFont val="WenQuanYi Zen Hei"/>
        <family val="2"/>
      </rPr>
      <t xml:space="preserve">気象・自然災害・熱中症</t>
    </r>
  </si>
  <si>
    <t xml:space="preserve">8-1</t>
  </si>
  <si>
    <t xml:space="preserve">作業中止基準（「作業中止基準」シート）を現場で決め、掲示している</t>
  </si>
  <si>
    <t xml:space="preserve">8-2</t>
  </si>
  <si>
    <t xml:space="preserve">風速計があり、風速を記録している</t>
  </si>
  <si>
    <t xml:space="preserve">8-3</t>
  </si>
  <si>
    <t xml:space="preserve">気象情報（警報・注意報、雨雲レーダー）を朝と作業中に確認している</t>
  </si>
  <si>
    <t xml:space="preserve">8-4</t>
  </si>
  <si>
    <t xml:space="preserve">強風の前に、シート類のたたみ込みや、資材・型枠の飛散防止をしている</t>
  </si>
  <si>
    <t xml:space="preserve">8-5</t>
  </si>
  <si>
    <r>
      <rPr>
        <sz val="10"/>
        <color rgb="FF000000"/>
        <rFont val="游ゴシック"/>
        <family val="0"/>
        <charset val="1"/>
      </rPr>
      <t xml:space="preserve">WBGT </t>
    </r>
    <r>
      <rPr>
        <sz val="10"/>
        <color rgb="FF000000"/>
        <rFont val="WenQuanYi Zen Hei"/>
        <family val="2"/>
      </rPr>
      <t xml:space="preserve">を測定し、作業員に知らせている</t>
    </r>
  </si>
  <si>
    <t xml:space="preserve">8-6</t>
  </si>
  <si>
    <t xml:space="preserve">日陰の休憩所・飲み物・塩分・冷却用品を用意している</t>
  </si>
  <si>
    <t xml:space="preserve">8-7</t>
  </si>
  <si>
    <t xml:space="preserve">熱中症の疑いがある人を見つけたときの報告先と対応手順（作業を外す、冷やす、医療機関へ運ぶ）を決め、周知している</t>
  </si>
  <si>
    <t xml:space="preserve">8-8</t>
  </si>
  <si>
    <t xml:space="preserve">暑さに慣れていない人（新規入場者、休み明け）の作業量を減らしている</t>
  </si>
  <si>
    <t xml:space="preserve">8-9</t>
  </si>
  <si>
    <t xml:space="preserve">地震・津波のときの退避場所と連絡方法を決めている</t>
  </si>
  <si>
    <t xml:space="preserve">作業中止基準（目安）</t>
  </si>
  <si>
    <t xml:space="preserve">一般的な目安。橋の形式や架設計画に合わせて現場ごとに決め、朝礼で確認する。</t>
  </si>
  <si>
    <t xml:space="preserve">気象の状態</t>
  </si>
  <si>
    <t xml:space="preserve">基準の目安</t>
  </si>
  <si>
    <t xml:space="preserve">現場で決めた基準</t>
  </si>
  <si>
    <t xml:space="preserve">対応</t>
  </si>
  <si>
    <t xml:space="preserve">強風</t>
  </si>
  <si>
    <r>
      <rPr>
        <sz val="10"/>
        <color rgb="FF000000"/>
        <rFont val="游ゴシック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分間の平均風速 </t>
    </r>
    <r>
      <rPr>
        <sz val="10"/>
        <color rgb="FF000000"/>
        <rFont val="游ゴシック"/>
        <family val="0"/>
        <charset val="1"/>
      </rPr>
      <t xml:space="preserve">10m/s </t>
    </r>
    <r>
      <rPr>
        <sz val="10"/>
        <color rgb="FF000000"/>
        <rFont val="WenQuanYi Zen Hei"/>
        <family val="2"/>
      </rPr>
      <t xml:space="preserve">以上</t>
    </r>
  </si>
  <si>
    <t xml:space="preserve">高所作業・クレーン作業を中止。クレーンのジブを下げる</t>
  </si>
  <si>
    <t xml:space="preserve">大雨</t>
  </si>
  <si>
    <r>
      <rPr>
        <sz val="10"/>
        <color rgb="FF000000"/>
        <rFont val="游ゴシック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回の降雨量 </t>
    </r>
    <r>
      <rPr>
        <sz val="10"/>
        <color rgb="FF000000"/>
        <rFont val="游ゴシック"/>
        <family val="0"/>
        <charset val="1"/>
      </rPr>
      <t xml:space="preserve">50mm </t>
    </r>
    <r>
      <rPr>
        <sz val="10"/>
        <color rgb="FF000000"/>
        <rFont val="WenQuanYi Zen Hei"/>
        <family val="2"/>
      </rPr>
      <t xml:space="preserve">以上</t>
    </r>
  </si>
  <si>
    <t xml:space="preserve">高所作業を中止。その後、足場・法面・土止めを点検</t>
  </si>
  <si>
    <t xml:space="preserve">大雪</t>
  </si>
  <si>
    <r>
      <rPr>
        <sz val="10"/>
        <color rgb="FF000000"/>
        <rFont val="游ゴシック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回の降雪量 </t>
    </r>
    <r>
      <rPr>
        <sz val="10"/>
        <color rgb="FF000000"/>
        <rFont val="游ゴシック"/>
        <family val="0"/>
        <charset val="1"/>
      </rPr>
      <t xml:space="preserve">25cm </t>
    </r>
    <r>
      <rPr>
        <sz val="10"/>
        <color rgb="FF000000"/>
        <rFont val="WenQuanYi Zen Hei"/>
        <family val="2"/>
      </rPr>
      <t xml:space="preserve">以上</t>
    </r>
  </si>
  <si>
    <t xml:space="preserve">高所作業を中止。その後、足場を点検</t>
  </si>
  <si>
    <t xml:space="preserve">地震</t>
  </si>
  <si>
    <r>
      <rPr>
        <sz val="10"/>
        <color rgb="FF000000"/>
        <rFont val="WenQuanYi Zen Hei"/>
        <family val="2"/>
      </rPr>
      <t xml:space="preserve">中震（震度</t>
    </r>
    <r>
      <rPr>
        <sz val="10"/>
        <color rgb="FF000000"/>
        <rFont val="游ゴシック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）以上</t>
    </r>
  </si>
  <si>
    <t xml:space="preserve">作業を止めて退避。その後、足場・支保工・ベントを点検</t>
  </si>
  <si>
    <t xml:space="preserve">雷</t>
  </si>
  <si>
    <t xml:space="preserve">雷鳴が聞こえる、または雷注意報</t>
  </si>
  <si>
    <t xml:space="preserve">高所・金属を扱う作業を中止し、建物や車内へ退避</t>
  </si>
  <si>
    <t xml:space="preserve">出水</t>
  </si>
  <si>
    <r>
      <rPr>
        <sz val="10"/>
        <color rgb="FF000000"/>
        <rFont val="WenQuanYi Zen Hei"/>
        <family val="2"/>
      </rPr>
      <t xml:space="preserve">現場で決めた水位・雨量（</t>
    </r>
    <r>
      <rPr>
        <sz val="10"/>
        <color rgb="FF000000"/>
        <rFont val="游ゴシック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章）</t>
    </r>
  </si>
  <si>
    <t xml:space="preserve">河川内の作業を中止し、重機・資材を撤去</t>
  </si>
  <si>
    <t xml:space="preserve">暑さ</t>
  </si>
  <si>
    <r>
      <rPr>
        <sz val="10"/>
        <color rgb="FF000000"/>
        <rFont val="游ゴシック"/>
        <family val="0"/>
        <charset val="1"/>
      </rPr>
      <t xml:space="preserve">WBGT 28 </t>
    </r>
    <r>
      <rPr>
        <sz val="10"/>
        <color rgb="FF000000"/>
        <rFont val="WenQuanYi Zen Hei"/>
        <family val="2"/>
      </rPr>
      <t xml:space="preserve">以上、または気温 </t>
    </r>
    <r>
      <rPr>
        <sz val="10"/>
        <color rgb="FF000000"/>
        <rFont val="游ゴシック"/>
        <family val="0"/>
        <charset val="1"/>
      </rPr>
      <t xml:space="preserve">31℃ </t>
    </r>
    <r>
      <rPr>
        <sz val="10"/>
        <color rgb="FF000000"/>
        <rFont val="WenQuanYi Zen Hei"/>
        <family val="2"/>
      </rPr>
      <t xml:space="preserve">以上</t>
    </r>
  </si>
  <si>
    <r>
      <rPr>
        <sz val="10"/>
        <color rgb="FF000000"/>
        <rFont val="WenQuanYi Zen Hei"/>
        <family val="2"/>
      </rPr>
      <t xml:space="preserve">休憩を増やす。熱中症の報告体制と対応手順を整備（</t>
    </r>
    <r>
      <rPr>
        <sz val="10"/>
        <color rgb="FF000000"/>
        <rFont val="游ゴシック"/>
        <family val="0"/>
        <charset val="1"/>
      </rPr>
      <t xml:space="preserve">8-7</t>
    </r>
    <r>
      <rPr>
        <sz val="10"/>
        <color rgb="FF000000"/>
        <rFont val="WenQuanYi Zen Hei"/>
        <family val="2"/>
      </rPr>
      <t xml:space="preserve">）</t>
    </r>
  </si>
  <si>
    <t xml:space="preserve">点検結果・是正記録</t>
  </si>
  <si>
    <r>
      <rPr>
        <sz val="9"/>
        <color rgb="FF595959"/>
        <rFont val="WenQuanYi Zen Hei"/>
        <family val="2"/>
      </rPr>
      <t xml:space="preserve">「チェックリスト」で </t>
    </r>
    <r>
      <rPr>
        <sz val="9"/>
        <color rgb="FF595959"/>
        <rFont val="游ゴシック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が付いた項目を転記し、是正が終わるまで追う。灰色の行は記入例（使うときは消す）。</t>
    </r>
  </si>
  <si>
    <r>
      <rPr>
        <b val="true"/>
        <sz val="10"/>
        <color rgb="FFFFFFFF"/>
        <rFont val="WenQuanYi Zen Hei"/>
        <family val="2"/>
      </rPr>
      <t xml:space="preserve">項目</t>
    </r>
    <r>
      <rPr>
        <b val="true"/>
        <sz val="10"/>
        <color rgb="FFFFFFFF"/>
        <rFont val="游ゴシック"/>
        <family val="0"/>
        <charset val="1"/>
      </rPr>
      <t xml:space="preserve">No.</t>
    </r>
  </si>
  <si>
    <t xml:space="preserve">不適の内容</t>
  </si>
  <si>
    <t xml:space="preserve">是正の内容</t>
  </si>
  <si>
    <t xml:space="preserve">担当者</t>
  </si>
  <si>
    <t xml:space="preserve">期限</t>
  </si>
  <si>
    <t xml:space="preserve">是正日</t>
  </si>
  <si>
    <t xml:space="preserve">確認者</t>
  </si>
  <si>
    <t xml:space="preserve">状況</t>
  </si>
  <si>
    <r>
      <rPr>
        <i val="true"/>
        <sz val="10"/>
        <color rgb="FF595959"/>
        <rFont val="游ゴシック"/>
        <family val="0"/>
        <charset val="1"/>
      </rPr>
      <t xml:space="preserve">P3</t>
    </r>
    <r>
      <rPr>
        <i val="true"/>
        <sz val="10"/>
        <color rgb="FF595959"/>
        <rFont val="WenQuanYi Zen Hei"/>
        <family val="2"/>
      </rPr>
      <t xml:space="preserve">橋脚足場の北面で中さんが</t>
    </r>
    <r>
      <rPr>
        <i val="true"/>
        <sz val="10"/>
        <color rgb="FF595959"/>
        <rFont val="游ゴシック"/>
        <family val="0"/>
        <charset val="1"/>
      </rPr>
      <t xml:space="preserve">1</t>
    </r>
    <r>
      <rPr>
        <i val="true"/>
        <sz val="10"/>
        <color rgb="FF595959"/>
        <rFont val="WenQuanYi Zen Hei"/>
        <family val="2"/>
      </rPr>
      <t xml:space="preserve">スパン外れていた</t>
    </r>
  </si>
  <si>
    <t xml:space="preserve">中さんを再設置し、同じ面の全スパンを再点検</t>
  </si>
  <si>
    <t xml:space="preserve">鈴木（○○組）</t>
  </si>
  <si>
    <t xml:space="preserve">2026/10/09</t>
  </si>
  <si>
    <t xml:space="preserve">田中</t>
  </si>
  <si>
    <t xml:space="preserve">確認欄</t>
  </si>
  <si>
    <t xml:space="preserve">役割</t>
  </si>
  <si>
    <t xml:space="preserve">氏名</t>
  </si>
  <si>
    <t xml:space="preserve">確認日</t>
  </si>
  <si>
    <t xml:space="preserve">点検者</t>
  </si>
  <si>
    <t xml:space="preserve">現場代理人</t>
  </si>
  <si>
    <t xml:space="preserve">安全担当者</t>
  </si>
  <si>
    <t xml:space="preserve">監理技術者</t>
  </si>
  <si>
    <t xml:space="preserve">使い方</t>
  </si>
  <si>
    <t xml:space="preserve">黄色のセル</t>
  </si>
  <si>
    <t xml:space="preserve">記入欄（判定・備考・氏名・日付など）</t>
  </si>
  <si>
    <t xml:space="preserve">判定 ○</t>
  </si>
  <si>
    <t xml:space="preserve">適正</t>
  </si>
  <si>
    <r>
      <rPr>
        <sz val="10"/>
        <color rgb="FF000000"/>
        <rFont val="WenQuanYi Zen Hei"/>
        <family val="2"/>
      </rPr>
      <t xml:space="preserve">判定 </t>
    </r>
    <r>
      <rPr>
        <sz val="10"/>
        <color rgb="FF000000"/>
        <rFont val="游ゴシック"/>
        <family val="0"/>
        <charset val="1"/>
      </rPr>
      <t xml:space="preserve">×</t>
    </r>
  </si>
  <si>
    <t xml:space="preserve">不適。是正記録シートに転記する</t>
  </si>
  <si>
    <t xml:space="preserve">判定 －</t>
  </si>
  <si>
    <t xml:space="preserve">該当なし（当日その作業がない）</t>
  </si>
  <si>
    <t xml:space="preserve">点検の頻度（目安）</t>
  </si>
  <si>
    <t xml:space="preserve">区分</t>
  </si>
  <si>
    <t xml:space="preserve">頻度</t>
  </si>
  <si>
    <t xml:space="preserve">主な実施者</t>
  </si>
  <si>
    <t xml:space="preserve">作業開始前点検</t>
  </si>
  <si>
    <t xml:space="preserve">毎日</t>
  </si>
  <si>
    <t xml:space="preserve">職長・作業主任者</t>
  </si>
  <si>
    <t xml:space="preserve">定期点検</t>
  </si>
  <si>
    <r>
      <rPr>
        <sz val="10"/>
        <color rgb="FF000000"/>
        <rFont val="WenQuanYi Zen Hei"/>
        <family val="2"/>
      </rPr>
      <t xml:space="preserve">週</t>
    </r>
    <r>
      <rPr>
        <sz val="10"/>
        <color rgb="FF000000"/>
        <rFont val="游ゴシック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回</t>
    </r>
  </si>
  <si>
    <t xml:space="preserve">元請の現場代理人・安全担当</t>
  </si>
  <si>
    <t xml:space="preserve">安全パトロール</t>
  </si>
  <si>
    <r>
      <rPr>
        <sz val="10"/>
        <color rgb="FF000000"/>
        <rFont val="WenQuanYi Zen Hei"/>
        <family val="2"/>
      </rPr>
      <t xml:space="preserve">月</t>
    </r>
    <r>
      <rPr>
        <sz val="10"/>
        <color rgb="FF000000"/>
        <rFont val="游ゴシック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回</t>
    </r>
  </si>
  <si>
    <t xml:space="preserve">店社の安全担当・協力会社</t>
  </si>
  <si>
    <t xml:space="preserve">臨時点検</t>
  </si>
  <si>
    <t xml:space="preserve">悪天候・地震の後、足場や支保工の組立・変更の後</t>
  </si>
  <si>
    <t xml:space="preserve">作業主任者・点検者に指名された者</t>
  </si>
  <si>
    <t xml:space="preserve">是正の流れ</t>
  </si>
  <si>
    <t xml:space="preserve">1</t>
  </si>
  <si>
    <r>
      <rPr>
        <sz val="10"/>
        <color rgb="FF000000"/>
        <rFont val="游ゴシック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が付いた項目は、その場で作業を止めるかどうかを判断する</t>
    </r>
  </si>
  <si>
    <t xml:space="preserve">2</t>
  </si>
  <si>
    <t xml:space="preserve">是正記録に、内容・担当・期限を書く</t>
  </si>
  <si>
    <t xml:space="preserve">3</t>
  </si>
  <si>
    <t xml:space="preserve">是正後に再点検し、確認者が署名する</t>
  </si>
  <si>
    <t xml:space="preserve">参考：主な根拠法令</t>
  </si>
  <si>
    <t xml:space="preserve">法令</t>
  </si>
  <si>
    <t xml:space="preserve">主に関係する章</t>
  </si>
  <si>
    <t xml:space="preserve">労働安全衛生法</t>
  </si>
  <si>
    <r>
      <rPr>
        <sz val="10"/>
        <color rgb="FF000000"/>
        <rFont val="游ゴシック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章（安全管理体制、作業主任者、教育）</t>
    </r>
  </si>
  <si>
    <t xml:space="preserve">労働安全衛生規則</t>
  </si>
  <si>
    <r>
      <rPr>
        <sz val="10"/>
        <color rgb="FF000000"/>
        <rFont val="游ゴシック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游ゴシック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游ゴシック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游ゴシック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游ゴシック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章（墜落防止、足場、掘削、型枠支保工、橋梁架設、車両系建設機械、電気、熱中症）</t>
    </r>
  </si>
  <si>
    <t xml:space="preserve">クレーン等安全規則</t>
  </si>
  <si>
    <r>
      <rPr>
        <sz val="10"/>
        <color rgb="FF000000"/>
        <rFont val="游ゴシック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章（移動式クレーン、玉掛け、強風時の作業中止）</t>
    </r>
  </si>
  <si>
    <t xml:space="preserve">酸素欠乏症等防止規則</t>
  </si>
  <si>
    <r>
      <rPr>
        <sz val="10"/>
        <color rgb="FF000000"/>
        <rFont val="游ゴシック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游ゴシック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章（ケーソン・箱桁などの閉じた場所）</t>
    </r>
  </si>
  <si>
    <t xml:space="preserve">道路交通法・道路法、警備業法</t>
  </si>
  <si>
    <r>
      <rPr>
        <sz val="10"/>
        <color rgb="FF000000"/>
        <rFont val="游ゴシック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章（道路使用・占用、交通誘導警備）</t>
    </r>
  </si>
  <si>
    <t xml:space="preserve">河川法</t>
  </si>
  <si>
    <r>
      <rPr>
        <sz val="10"/>
        <color rgb="FF000000"/>
        <rFont val="游ゴシック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章（河川占用の条件）</t>
    </r>
  </si>
  <si>
    <t xml:space="preserve">建設工事公衆災害防止対策要綱（土木工事編）</t>
  </si>
  <si>
    <r>
      <rPr>
        <sz val="10"/>
        <color rgb="FF000000"/>
        <rFont val="游ゴシック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章（第三者災害の防止）</t>
    </r>
  </si>
  <si>
    <t xml:space="preserve">土木工事安全施工技術指針</t>
  </si>
  <si>
    <t xml:space="preserve">全般</t>
  </si>
  <si>
    <t xml:space="preserve">注意</t>
  </si>
  <si>
    <t xml:space="preserve">数値基準は主な規定を記憶に基づいて記載した案。採用前に最新の法令・発注者の仕様書・自社の安全基準と照合すること。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</si>
</sst>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"/>
    <numFmt numFmtId="166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WenQuanYi Zen Hei"/>
      <family val="2"/>
    </font>
    <font>
      <b val="true"/>
      <sz val="10"/>
      <color rgb="FF000000"/>
      <name val="WenQuanYi Zen Hei"/>
      <family val="2"/>
    </font>
    <font>
      <sz val="10"/>
      <color rgb="FF000000"/>
      <name val="游ゴシック"/>
      <family val="0"/>
      <charset val="1"/>
    </font>
    <font>
      <sz val="10"/>
      <color rgb="FF000000"/>
      <name val="WenQuanYi Zen Hei"/>
      <family val="2"/>
    </font>
    <font>
      <sz val="9"/>
      <color rgb="FF595959"/>
      <name val="WenQuanYi Zen Hei"/>
      <family val="2"/>
    </font>
    <font>
      <sz val="9"/>
      <color rgb="FF595959"/>
      <name val="游ゴシック"/>
      <family val="0"/>
      <charset val="1"/>
    </font>
    <font>
      <b val="true"/>
      <sz val="10"/>
      <color rgb="FFFFFFFF"/>
      <name val="游ゴシック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000000"/>
      <name val="游ゴシック"/>
      <family val="0"/>
      <charset val="1"/>
    </font>
    <font>
      <i val="true"/>
      <sz val="10"/>
      <color rgb="FF595959"/>
      <name val="游ゴシック"/>
      <family val="0"/>
      <charset val="1"/>
    </font>
    <font>
      <i val="true"/>
      <sz val="10"/>
      <color rgb="FF595959"/>
      <name val="WenQuanYi Zen Hei"/>
      <family val="2"/>
    </font>
    <font>
      <sz val="11"/>
      <color theme="1"/>
      <name val="WenQuanYi Zen Hei"/>
      <family val="2"/>
    </font>
    <font>
      <b val="true"/>
      <sz val="11"/>
      <color rgb="FF000000"/>
      <name val="WenQuanYi Zen Hei"/>
      <family val="2"/>
    </font>
    <font>
      <b val="true"/>
      <sz val="12"/>
      <color rgb="FF000000"/>
      <name val="WenQuanYi Zen Hei"/>
      <family val="2"/>
    </font>
    <font>
      <sz val="10"/>
      <color rgb="FFC00000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游ゴシック"/>
        <charset val="1"/>
        <family val="0"/>
        <b val="1"/>
        <color rgb="FFC00000"/>
      </font>
      <fill>
        <patternFill>
          <bgColor rgb="FFF8CBAD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8"/>
    <col collapsed="false" customWidth="true" hidden="false" outlineLevel="0" max="3" min="3" style="0" width="7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/>
      <c r="C3" s="3"/>
      <c r="D3" s="3"/>
    </row>
    <row r="4" customFormat="false" ht="15" hidden="false" customHeight="false" outlineLevel="0" collapsed="false">
      <c r="A4" s="2" t="s">
        <v>2</v>
      </c>
      <c r="B4" s="3"/>
      <c r="C4" s="3"/>
      <c r="D4" s="3"/>
    </row>
    <row r="5" customFormat="false" ht="15" hidden="false" customHeight="false" outlineLevel="0" collapsed="false">
      <c r="A5" s="2" t="s">
        <v>3</v>
      </c>
      <c r="B5" s="4"/>
      <c r="C5" s="4"/>
      <c r="D5" s="4"/>
    </row>
    <row r="6" customFormat="false" ht="15" hidden="false" customHeight="false" outlineLevel="0" collapsed="false">
      <c r="A6" s="2" t="s">
        <v>4</v>
      </c>
      <c r="B6" s="3"/>
      <c r="C6" s="3"/>
      <c r="D6" s="3"/>
    </row>
    <row r="7" customFormat="false" ht="15" hidden="false" customHeight="false" outlineLevel="0" collapsed="false">
      <c r="A7" s="2" t="s">
        <v>5</v>
      </c>
      <c r="B7" s="3"/>
      <c r="C7" s="3"/>
      <c r="D7" s="3"/>
    </row>
    <row r="8" customFormat="false" ht="15" hidden="false" customHeight="false" outlineLevel="0" collapsed="false">
      <c r="A8" s="2" t="s">
        <v>6</v>
      </c>
      <c r="B8" s="3"/>
      <c r="C8" s="3"/>
      <c r="D8" s="3"/>
    </row>
    <row r="10" customFormat="false" ht="15" hidden="false" customHeight="false" outlineLevel="0" collapsed="false">
      <c r="A10" s="5" t="s">
        <v>7</v>
      </c>
    </row>
    <row r="11" customFormat="false" ht="15" hidden="false" customHeight="false" outlineLevel="0" collapsed="false">
      <c r="A11" s="6" t="s">
        <v>8</v>
      </c>
      <c r="B11" s="7" t="s">
        <v>9</v>
      </c>
      <c r="C11" s="6" t="n">
        <f aca="false">COUNTIF($C$20:$C$129,"○")</f>
        <v>0</v>
      </c>
    </row>
    <row r="12" customFormat="false" ht="15" hidden="false" customHeight="false" outlineLevel="0" collapsed="false">
      <c r="A12" s="6" t="s">
        <v>10</v>
      </c>
      <c r="B12" s="8" t="s">
        <v>11</v>
      </c>
      <c r="C12" s="9" t="n">
        <f aca="false">COUNTIF($C$20:$C$129,"×")</f>
        <v>0</v>
      </c>
    </row>
    <row r="13" customFormat="false" ht="15" hidden="false" customHeight="false" outlineLevel="0" collapsed="false">
      <c r="A13" s="10" t="s">
        <v>12</v>
      </c>
      <c r="B13" s="7" t="s">
        <v>13</v>
      </c>
      <c r="C13" s="6" t="n">
        <f aca="false">COUNTIF($C$20:$C$129,"－")</f>
        <v>0</v>
      </c>
    </row>
    <row r="14" customFormat="false" ht="15" hidden="false" customHeight="false" outlineLevel="0" collapsed="false">
      <c r="A14" s="10" t="s">
        <v>14</v>
      </c>
      <c r="B14" s="7" t="s">
        <v>15</v>
      </c>
      <c r="C14" s="6" t="n">
        <f aca="false">C15-SUM(C11:C13)</f>
        <v>102</v>
      </c>
    </row>
    <row r="15" customFormat="false" ht="15" hidden="false" customHeight="false" outlineLevel="0" collapsed="false">
      <c r="A15" s="11" t="s">
        <v>16</v>
      </c>
      <c r="B15" s="2" t="s">
        <v>17</v>
      </c>
      <c r="C15" s="11" t="n">
        <f aca="false">COUNTA($B$20:$B$129)</f>
        <v>102</v>
      </c>
    </row>
    <row r="17" customFormat="false" ht="13.4" hidden="false" customHeight="false" outlineLevel="0" collapsed="false">
      <c r="A17" s="12" t="s">
        <v>18</v>
      </c>
      <c r="B17" s="12"/>
      <c r="C17" s="12"/>
      <c r="D17" s="12"/>
    </row>
    <row r="19" customFormat="false" ht="15" hidden="false" customHeight="false" outlineLevel="0" collapsed="false">
      <c r="A19" s="13" t="s">
        <v>19</v>
      </c>
      <c r="B19" s="14" t="s">
        <v>20</v>
      </c>
      <c r="C19" s="14" t="s">
        <v>21</v>
      </c>
      <c r="D19" s="14" t="s">
        <v>22</v>
      </c>
    </row>
    <row r="20" customFormat="false" ht="14.15" hidden="false" customHeight="false" outlineLevel="0" collapsed="false">
      <c r="A20" s="15" t="s">
        <v>23</v>
      </c>
      <c r="B20" s="15"/>
      <c r="C20" s="15"/>
      <c r="D20" s="15"/>
    </row>
    <row r="21" customFormat="false" ht="19.5" hidden="false" customHeight="true" outlineLevel="0" collapsed="false">
      <c r="A21" s="6" t="s">
        <v>24</v>
      </c>
      <c r="B21" s="16" t="s">
        <v>25</v>
      </c>
      <c r="C21" s="17"/>
      <c r="D21" s="18"/>
    </row>
    <row r="22" customFormat="false" ht="36" hidden="false" customHeight="true" outlineLevel="0" collapsed="false">
      <c r="A22" s="6" t="s">
        <v>26</v>
      </c>
      <c r="B22" s="16" t="s">
        <v>27</v>
      </c>
      <c r="C22" s="17"/>
      <c r="D22" s="18"/>
    </row>
    <row r="23" customFormat="false" ht="19.5" hidden="false" customHeight="true" outlineLevel="0" collapsed="false">
      <c r="A23" s="6" t="s">
        <v>28</v>
      </c>
      <c r="B23" s="16" t="s">
        <v>29</v>
      </c>
      <c r="C23" s="17"/>
      <c r="D23" s="18"/>
    </row>
    <row r="24" customFormat="false" ht="19.5" hidden="false" customHeight="true" outlineLevel="0" collapsed="false">
      <c r="A24" s="6" t="s">
        <v>30</v>
      </c>
      <c r="B24" s="16" t="s">
        <v>31</v>
      </c>
      <c r="C24" s="17"/>
      <c r="D24" s="18"/>
    </row>
    <row r="25" customFormat="false" ht="51.75" hidden="false" customHeight="true" outlineLevel="0" collapsed="false">
      <c r="A25" s="6" t="s">
        <v>32</v>
      </c>
      <c r="B25" s="16" t="s">
        <v>33</v>
      </c>
      <c r="C25" s="17"/>
      <c r="D25" s="18"/>
    </row>
    <row r="26" customFormat="false" ht="36" hidden="false" customHeight="true" outlineLevel="0" collapsed="false">
      <c r="A26" s="6" t="s">
        <v>34</v>
      </c>
      <c r="B26" s="16" t="s">
        <v>35</v>
      </c>
      <c r="C26" s="17"/>
      <c r="D26" s="18"/>
    </row>
    <row r="27" customFormat="false" ht="36" hidden="false" customHeight="true" outlineLevel="0" collapsed="false">
      <c r="A27" s="6" t="s">
        <v>36</v>
      </c>
      <c r="B27" s="16" t="s">
        <v>37</v>
      </c>
      <c r="C27" s="17"/>
      <c r="D27" s="18"/>
    </row>
    <row r="28" customFormat="false" ht="19.5" hidden="false" customHeight="true" outlineLevel="0" collapsed="false">
      <c r="A28" s="6" t="s">
        <v>38</v>
      </c>
      <c r="B28" s="16" t="s">
        <v>39</v>
      </c>
      <c r="C28" s="17"/>
      <c r="D28" s="18"/>
    </row>
    <row r="29" customFormat="false" ht="19.5" hidden="false" customHeight="true" outlineLevel="0" collapsed="false">
      <c r="A29" s="6" t="s">
        <v>40</v>
      </c>
      <c r="B29" s="16" t="s">
        <v>41</v>
      </c>
      <c r="C29" s="17"/>
      <c r="D29" s="18"/>
    </row>
    <row r="30" customFormat="false" ht="36" hidden="false" customHeight="true" outlineLevel="0" collapsed="false">
      <c r="A30" s="6" t="s">
        <v>42</v>
      </c>
      <c r="B30" s="16" t="s">
        <v>43</v>
      </c>
      <c r="C30" s="17"/>
      <c r="D30" s="18"/>
    </row>
    <row r="31" customFormat="false" ht="19.5" hidden="false" customHeight="true" outlineLevel="0" collapsed="false">
      <c r="A31" s="6" t="s">
        <v>44</v>
      </c>
      <c r="B31" s="16" t="s">
        <v>45</v>
      </c>
      <c r="C31" s="17"/>
      <c r="D31" s="18"/>
    </row>
    <row r="32" customFormat="false" ht="36" hidden="false" customHeight="true" outlineLevel="0" collapsed="false">
      <c r="A32" s="6" t="s">
        <v>46</v>
      </c>
      <c r="B32" s="16" t="s">
        <v>47</v>
      </c>
      <c r="C32" s="17"/>
      <c r="D32" s="18"/>
    </row>
    <row r="33" customFormat="false" ht="14.15" hidden="false" customHeight="false" outlineLevel="0" collapsed="false">
      <c r="A33" s="15" t="s">
        <v>48</v>
      </c>
      <c r="B33" s="15"/>
      <c r="C33" s="15"/>
      <c r="D33" s="15"/>
    </row>
    <row r="34" customFormat="false" ht="36" hidden="false" customHeight="true" outlineLevel="0" collapsed="false">
      <c r="A34" s="6" t="s">
        <v>49</v>
      </c>
      <c r="B34" s="16" t="s">
        <v>50</v>
      </c>
      <c r="C34" s="17"/>
      <c r="D34" s="18"/>
    </row>
    <row r="35" customFormat="false" ht="36" hidden="false" customHeight="true" outlineLevel="0" collapsed="false">
      <c r="A35" s="6" t="s">
        <v>51</v>
      </c>
      <c r="B35" s="16" t="s">
        <v>52</v>
      </c>
      <c r="C35" s="17"/>
      <c r="D35" s="18"/>
    </row>
    <row r="36" customFormat="false" ht="36" hidden="false" customHeight="true" outlineLevel="0" collapsed="false">
      <c r="A36" s="6" t="s">
        <v>53</v>
      </c>
      <c r="B36" s="16" t="s">
        <v>54</v>
      </c>
      <c r="C36" s="17"/>
      <c r="D36" s="18"/>
    </row>
    <row r="37" customFormat="false" ht="19.5" hidden="false" customHeight="true" outlineLevel="0" collapsed="false">
      <c r="A37" s="6" t="s">
        <v>55</v>
      </c>
      <c r="B37" s="16" t="s">
        <v>56</v>
      </c>
      <c r="C37" s="17"/>
      <c r="D37" s="18"/>
    </row>
    <row r="38" customFormat="false" ht="19.5" hidden="false" customHeight="true" outlineLevel="0" collapsed="false">
      <c r="A38" s="6" t="s">
        <v>57</v>
      </c>
      <c r="B38" s="16" t="s">
        <v>58</v>
      </c>
      <c r="C38" s="17"/>
      <c r="D38" s="18"/>
    </row>
    <row r="39" customFormat="false" ht="36" hidden="false" customHeight="true" outlineLevel="0" collapsed="false">
      <c r="A39" s="6" t="s">
        <v>59</v>
      </c>
      <c r="B39" s="16" t="s">
        <v>60</v>
      </c>
      <c r="C39" s="17"/>
      <c r="D39" s="18"/>
    </row>
    <row r="40" customFormat="false" ht="36" hidden="false" customHeight="true" outlineLevel="0" collapsed="false">
      <c r="A40" s="6" t="s">
        <v>61</v>
      </c>
      <c r="B40" s="16" t="s">
        <v>62</v>
      </c>
      <c r="C40" s="17"/>
      <c r="D40" s="18"/>
    </row>
    <row r="41" customFormat="false" ht="19.5" hidden="false" customHeight="true" outlineLevel="0" collapsed="false">
      <c r="A41" s="6" t="s">
        <v>63</v>
      </c>
      <c r="B41" s="16" t="s">
        <v>64</v>
      </c>
      <c r="C41" s="17"/>
      <c r="D41" s="18"/>
    </row>
    <row r="42" customFormat="false" ht="19.5" hidden="false" customHeight="true" outlineLevel="0" collapsed="false">
      <c r="A42" s="6" t="s">
        <v>65</v>
      </c>
      <c r="B42" s="16" t="s">
        <v>66</v>
      </c>
      <c r="C42" s="17"/>
      <c r="D42" s="18"/>
    </row>
    <row r="43" customFormat="false" ht="19.5" hidden="false" customHeight="true" outlineLevel="0" collapsed="false">
      <c r="A43" s="6" t="s">
        <v>67</v>
      </c>
      <c r="B43" s="16" t="s">
        <v>68</v>
      </c>
      <c r="C43" s="17"/>
      <c r="D43" s="18"/>
    </row>
    <row r="44" customFormat="false" ht="19.5" hidden="false" customHeight="true" outlineLevel="0" collapsed="false">
      <c r="A44" s="6" t="s">
        <v>69</v>
      </c>
      <c r="B44" s="16" t="s">
        <v>70</v>
      </c>
      <c r="C44" s="17"/>
      <c r="D44" s="18"/>
    </row>
    <row r="45" customFormat="false" ht="19.5" hidden="false" customHeight="true" outlineLevel="0" collapsed="false">
      <c r="A45" s="6" t="s">
        <v>71</v>
      </c>
      <c r="B45" s="16" t="s">
        <v>72</v>
      </c>
      <c r="C45" s="17"/>
      <c r="D45" s="18"/>
    </row>
    <row r="46" customFormat="false" ht="36" hidden="false" customHeight="true" outlineLevel="0" collapsed="false">
      <c r="A46" s="6" t="s">
        <v>73</v>
      </c>
      <c r="B46" s="16" t="s">
        <v>74</v>
      </c>
      <c r="C46" s="17"/>
      <c r="D46" s="18"/>
    </row>
    <row r="47" customFormat="false" ht="19.5" hidden="false" customHeight="true" outlineLevel="0" collapsed="false">
      <c r="A47" s="6" t="s">
        <v>75</v>
      </c>
      <c r="B47" s="16" t="s">
        <v>76</v>
      </c>
      <c r="C47" s="17"/>
      <c r="D47" s="18"/>
    </row>
    <row r="48" customFormat="false" ht="14.15" hidden="false" customHeight="false" outlineLevel="0" collapsed="false">
      <c r="A48" s="15" t="s">
        <v>77</v>
      </c>
      <c r="B48" s="15"/>
      <c r="C48" s="15"/>
      <c r="D48" s="15"/>
    </row>
    <row r="49" customFormat="false" ht="19.5" hidden="false" customHeight="true" outlineLevel="0" collapsed="false">
      <c r="A49" s="6" t="s">
        <v>78</v>
      </c>
      <c r="B49" s="16" t="s">
        <v>79</v>
      </c>
      <c r="C49" s="17"/>
      <c r="D49" s="18"/>
    </row>
    <row r="50" customFormat="false" ht="19.5" hidden="false" customHeight="true" outlineLevel="0" collapsed="false">
      <c r="A50" s="6" t="s">
        <v>80</v>
      </c>
      <c r="B50" s="16" t="s">
        <v>81</v>
      </c>
      <c r="C50" s="17"/>
      <c r="D50" s="18"/>
    </row>
    <row r="51" customFormat="false" ht="19.5" hidden="false" customHeight="true" outlineLevel="0" collapsed="false">
      <c r="A51" s="6" t="s">
        <v>82</v>
      </c>
      <c r="B51" s="16" t="s">
        <v>83</v>
      </c>
      <c r="C51" s="17"/>
      <c r="D51" s="18"/>
    </row>
    <row r="52" customFormat="false" ht="19.5" hidden="false" customHeight="true" outlineLevel="0" collapsed="false">
      <c r="A52" s="6" t="s">
        <v>84</v>
      </c>
      <c r="B52" s="16" t="s">
        <v>85</v>
      </c>
      <c r="C52" s="17"/>
      <c r="D52" s="18"/>
    </row>
    <row r="53" customFormat="false" ht="36" hidden="false" customHeight="true" outlineLevel="0" collapsed="false">
      <c r="A53" s="6" t="s">
        <v>86</v>
      </c>
      <c r="B53" s="16" t="s">
        <v>87</v>
      </c>
      <c r="C53" s="17"/>
      <c r="D53" s="18"/>
    </row>
    <row r="54" customFormat="false" ht="19.5" hidden="false" customHeight="true" outlineLevel="0" collapsed="false">
      <c r="A54" s="6" t="s">
        <v>88</v>
      </c>
      <c r="B54" s="16" t="s">
        <v>89</v>
      </c>
      <c r="C54" s="17"/>
      <c r="D54" s="18"/>
    </row>
    <row r="55" customFormat="false" ht="36" hidden="false" customHeight="true" outlineLevel="0" collapsed="false">
      <c r="A55" s="6" t="s">
        <v>90</v>
      </c>
      <c r="B55" s="16" t="s">
        <v>91</v>
      </c>
      <c r="C55" s="17"/>
      <c r="D55" s="18"/>
    </row>
    <row r="56" customFormat="false" ht="19.5" hidden="false" customHeight="true" outlineLevel="0" collapsed="false">
      <c r="A56" s="6" t="s">
        <v>92</v>
      </c>
      <c r="B56" s="16" t="s">
        <v>93</v>
      </c>
      <c r="C56" s="17"/>
      <c r="D56" s="18"/>
    </row>
    <row r="57" customFormat="false" ht="19.5" hidden="false" customHeight="true" outlineLevel="0" collapsed="false">
      <c r="A57" s="6" t="s">
        <v>94</v>
      </c>
      <c r="B57" s="16" t="s">
        <v>95</v>
      </c>
      <c r="C57" s="17"/>
      <c r="D57" s="18"/>
    </row>
    <row r="58" customFormat="false" ht="19.5" hidden="false" customHeight="true" outlineLevel="0" collapsed="false">
      <c r="A58" s="6" t="s">
        <v>96</v>
      </c>
      <c r="B58" s="16" t="s">
        <v>97</v>
      </c>
      <c r="C58" s="17"/>
      <c r="D58" s="18"/>
    </row>
    <row r="59" customFormat="false" ht="36" hidden="false" customHeight="true" outlineLevel="0" collapsed="false">
      <c r="A59" s="6" t="s">
        <v>98</v>
      </c>
      <c r="B59" s="16" t="s">
        <v>99</v>
      </c>
      <c r="C59" s="17"/>
      <c r="D59" s="18"/>
    </row>
    <row r="60" customFormat="false" ht="36" hidden="false" customHeight="true" outlineLevel="0" collapsed="false">
      <c r="A60" s="6" t="s">
        <v>100</v>
      </c>
      <c r="B60" s="16" t="s">
        <v>101</v>
      </c>
      <c r="C60" s="17"/>
      <c r="D60" s="18"/>
    </row>
    <row r="61" customFormat="false" ht="19.5" hidden="false" customHeight="true" outlineLevel="0" collapsed="false">
      <c r="A61" s="6" t="s">
        <v>102</v>
      </c>
      <c r="B61" s="16" t="s">
        <v>103</v>
      </c>
      <c r="C61" s="17"/>
      <c r="D61" s="18"/>
    </row>
    <row r="62" customFormat="false" ht="36" hidden="false" customHeight="true" outlineLevel="0" collapsed="false">
      <c r="A62" s="6" t="s">
        <v>104</v>
      </c>
      <c r="B62" s="16" t="s">
        <v>105</v>
      </c>
      <c r="C62" s="17"/>
      <c r="D62" s="18"/>
    </row>
    <row r="63" customFormat="false" ht="14.15" hidden="false" customHeight="false" outlineLevel="0" collapsed="false">
      <c r="A63" s="15" t="s">
        <v>106</v>
      </c>
      <c r="B63" s="15"/>
      <c r="C63" s="15"/>
      <c r="D63" s="15"/>
    </row>
    <row r="64" customFormat="false" ht="36" hidden="false" customHeight="true" outlineLevel="0" collapsed="false">
      <c r="A64" s="6" t="s">
        <v>107</v>
      </c>
      <c r="B64" s="16" t="s">
        <v>108</v>
      </c>
      <c r="C64" s="17"/>
      <c r="D64" s="18"/>
    </row>
    <row r="65" customFormat="false" ht="36" hidden="false" customHeight="true" outlineLevel="0" collapsed="false">
      <c r="A65" s="6" t="s">
        <v>109</v>
      </c>
      <c r="B65" s="16" t="s">
        <v>110</v>
      </c>
      <c r="C65" s="17"/>
      <c r="D65" s="18"/>
    </row>
    <row r="66" customFormat="false" ht="36" hidden="false" customHeight="true" outlineLevel="0" collapsed="false">
      <c r="A66" s="6" t="s">
        <v>111</v>
      </c>
      <c r="B66" s="16" t="s">
        <v>112</v>
      </c>
      <c r="C66" s="17"/>
      <c r="D66" s="18"/>
    </row>
    <row r="67" customFormat="false" ht="36" hidden="false" customHeight="true" outlineLevel="0" collapsed="false">
      <c r="A67" s="6" t="s">
        <v>113</v>
      </c>
      <c r="B67" s="16" t="s">
        <v>114</v>
      </c>
      <c r="C67" s="17"/>
      <c r="D67" s="18"/>
    </row>
    <row r="68" customFormat="false" ht="36" hidden="false" customHeight="true" outlineLevel="0" collapsed="false">
      <c r="A68" s="6" t="s">
        <v>115</v>
      </c>
      <c r="B68" s="16" t="s">
        <v>116</v>
      </c>
      <c r="C68" s="17"/>
      <c r="D68" s="18"/>
    </row>
    <row r="69" customFormat="false" ht="36" hidden="false" customHeight="true" outlineLevel="0" collapsed="false">
      <c r="A69" s="6" t="s">
        <v>117</v>
      </c>
      <c r="B69" s="16" t="s">
        <v>118</v>
      </c>
      <c r="C69" s="17"/>
      <c r="D69" s="18"/>
    </row>
    <row r="70" customFormat="false" ht="36" hidden="false" customHeight="true" outlineLevel="0" collapsed="false">
      <c r="A70" s="6" t="s">
        <v>119</v>
      </c>
      <c r="B70" s="16" t="s">
        <v>120</v>
      </c>
      <c r="C70" s="17"/>
      <c r="D70" s="18"/>
    </row>
    <row r="71" customFormat="false" ht="36" hidden="false" customHeight="true" outlineLevel="0" collapsed="false">
      <c r="A71" s="6" t="s">
        <v>121</v>
      </c>
      <c r="B71" s="16" t="s">
        <v>122</v>
      </c>
      <c r="C71" s="17"/>
      <c r="D71" s="18"/>
    </row>
    <row r="72" customFormat="false" ht="19.5" hidden="false" customHeight="true" outlineLevel="0" collapsed="false">
      <c r="A72" s="6" t="s">
        <v>123</v>
      </c>
      <c r="B72" s="16" t="s">
        <v>124</v>
      </c>
      <c r="C72" s="17"/>
      <c r="D72" s="18"/>
    </row>
    <row r="73" customFormat="false" ht="36" hidden="false" customHeight="true" outlineLevel="0" collapsed="false">
      <c r="A73" s="6" t="s">
        <v>125</v>
      </c>
      <c r="B73" s="16" t="s">
        <v>126</v>
      </c>
      <c r="C73" s="17"/>
      <c r="D73" s="18"/>
    </row>
    <row r="74" customFormat="false" ht="36" hidden="false" customHeight="true" outlineLevel="0" collapsed="false">
      <c r="A74" s="6" t="s">
        <v>127</v>
      </c>
      <c r="B74" s="16" t="s">
        <v>128</v>
      </c>
      <c r="C74" s="17"/>
      <c r="D74" s="18"/>
    </row>
    <row r="75" customFormat="false" ht="36" hidden="false" customHeight="true" outlineLevel="0" collapsed="false">
      <c r="A75" s="6" t="s">
        <v>129</v>
      </c>
      <c r="B75" s="16" t="s">
        <v>130</v>
      </c>
      <c r="C75" s="17"/>
      <c r="D75" s="18"/>
    </row>
    <row r="76" customFormat="false" ht="36" hidden="false" customHeight="true" outlineLevel="0" collapsed="false">
      <c r="A76" s="6" t="s">
        <v>131</v>
      </c>
      <c r="B76" s="16" t="s">
        <v>132</v>
      </c>
      <c r="C76" s="17"/>
      <c r="D76" s="18"/>
    </row>
    <row r="77" customFormat="false" ht="19.5" hidden="false" customHeight="true" outlineLevel="0" collapsed="false">
      <c r="A77" s="6" t="s">
        <v>133</v>
      </c>
      <c r="B77" s="16" t="s">
        <v>134</v>
      </c>
      <c r="C77" s="17"/>
      <c r="D77" s="18"/>
    </row>
    <row r="78" customFormat="false" ht="36" hidden="false" customHeight="true" outlineLevel="0" collapsed="false">
      <c r="A78" s="6" t="s">
        <v>135</v>
      </c>
      <c r="B78" s="19" t="s">
        <v>136</v>
      </c>
      <c r="C78" s="17"/>
      <c r="D78" s="18"/>
    </row>
    <row r="79" customFormat="false" ht="19.5" hidden="false" customHeight="true" outlineLevel="0" collapsed="false">
      <c r="A79" s="6" t="s">
        <v>137</v>
      </c>
      <c r="B79" s="16" t="s">
        <v>138</v>
      </c>
      <c r="C79" s="17"/>
      <c r="D79" s="18"/>
    </row>
    <row r="80" customFormat="false" ht="14.15" hidden="false" customHeight="false" outlineLevel="0" collapsed="false">
      <c r="A80" s="15" t="s">
        <v>139</v>
      </c>
      <c r="B80" s="15"/>
      <c r="C80" s="15"/>
      <c r="D80" s="15"/>
    </row>
    <row r="81" customFormat="false" ht="36" hidden="false" customHeight="true" outlineLevel="0" collapsed="false">
      <c r="A81" s="6" t="s">
        <v>140</v>
      </c>
      <c r="B81" s="16" t="s">
        <v>141</v>
      </c>
      <c r="C81" s="17"/>
      <c r="D81" s="18"/>
    </row>
    <row r="82" customFormat="false" ht="19.5" hidden="false" customHeight="true" outlineLevel="0" collapsed="false">
      <c r="A82" s="6" t="s">
        <v>142</v>
      </c>
      <c r="B82" s="16" t="s">
        <v>143</v>
      </c>
      <c r="C82" s="17"/>
      <c r="D82" s="18"/>
    </row>
    <row r="83" customFormat="false" ht="19.5" hidden="false" customHeight="true" outlineLevel="0" collapsed="false">
      <c r="A83" s="6" t="s">
        <v>144</v>
      </c>
      <c r="B83" s="16" t="s">
        <v>145</v>
      </c>
      <c r="C83" s="17"/>
      <c r="D83" s="18"/>
    </row>
    <row r="84" customFormat="false" ht="19.5" hidden="false" customHeight="true" outlineLevel="0" collapsed="false">
      <c r="A84" s="6" t="s">
        <v>146</v>
      </c>
      <c r="B84" s="16" t="s">
        <v>147</v>
      </c>
      <c r="C84" s="17"/>
      <c r="D84" s="18"/>
    </row>
    <row r="85" customFormat="false" ht="19.5" hidden="false" customHeight="true" outlineLevel="0" collapsed="false">
      <c r="A85" s="6" t="s">
        <v>148</v>
      </c>
      <c r="B85" s="16" t="s">
        <v>149</v>
      </c>
      <c r="C85" s="17"/>
      <c r="D85" s="18"/>
    </row>
    <row r="86" customFormat="false" ht="19.5" hidden="false" customHeight="true" outlineLevel="0" collapsed="false">
      <c r="A86" s="6" t="s">
        <v>150</v>
      </c>
      <c r="B86" s="16" t="s">
        <v>151</v>
      </c>
      <c r="C86" s="17"/>
      <c r="D86" s="18"/>
    </row>
    <row r="87" customFormat="false" ht="19.5" hidden="false" customHeight="true" outlineLevel="0" collapsed="false">
      <c r="A87" s="6" t="s">
        <v>152</v>
      </c>
      <c r="B87" s="16" t="s">
        <v>153</v>
      </c>
      <c r="C87" s="17"/>
      <c r="D87" s="18"/>
    </row>
    <row r="88" customFormat="false" ht="19.5" hidden="false" customHeight="true" outlineLevel="0" collapsed="false">
      <c r="A88" s="6" t="s">
        <v>154</v>
      </c>
      <c r="B88" s="16" t="s">
        <v>155</v>
      </c>
      <c r="C88" s="17"/>
      <c r="D88" s="18"/>
    </row>
    <row r="89" customFormat="false" ht="36" hidden="false" customHeight="true" outlineLevel="0" collapsed="false">
      <c r="A89" s="6" t="s">
        <v>156</v>
      </c>
      <c r="B89" s="16" t="s">
        <v>157</v>
      </c>
      <c r="C89" s="17"/>
      <c r="D89" s="18"/>
    </row>
    <row r="90" customFormat="false" ht="36" hidden="false" customHeight="true" outlineLevel="0" collapsed="false">
      <c r="A90" s="6" t="s">
        <v>158</v>
      </c>
      <c r="B90" s="16" t="s">
        <v>159</v>
      </c>
      <c r="C90" s="17"/>
      <c r="D90" s="18"/>
    </row>
    <row r="91" customFormat="false" ht="14.15" hidden="false" customHeight="false" outlineLevel="0" collapsed="false">
      <c r="A91" s="15" t="s">
        <v>160</v>
      </c>
      <c r="B91" s="15"/>
      <c r="C91" s="15"/>
      <c r="D91" s="15"/>
    </row>
    <row r="92" customFormat="false" ht="36" hidden="false" customHeight="true" outlineLevel="0" collapsed="false">
      <c r="A92" s="6" t="s">
        <v>161</v>
      </c>
      <c r="B92" s="16" t="s">
        <v>162</v>
      </c>
      <c r="C92" s="17"/>
      <c r="D92" s="18"/>
    </row>
    <row r="93" customFormat="false" ht="19.5" hidden="false" customHeight="true" outlineLevel="0" collapsed="false">
      <c r="A93" s="6" t="s">
        <v>163</v>
      </c>
      <c r="B93" s="16" t="s">
        <v>164</v>
      </c>
      <c r="C93" s="17"/>
      <c r="D93" s="18"/>
    </row>
    <row r="94" customFormat="false" ht="19.5" hidden="false" customHeight="true" outlineLevel="0" collapsed="false">
      <c r="A94" s="6" t="s">
        <v>165</v>
      </c>
      <c r="B94" s="16" t="s">
        <v>166</v>
      </c>
      <c r="C94" s="17"/>
      <c r="D94" s="18"/>
    </row>
    <row r="95" customFormat="false" ht="19.5" hidden="false" customHeight="true" outlineLevel="0" collapsed="false">
      <c r="A95" s="6" t="s">
        <v>167</v>
      </c>
      <c r="B95" s="16" t="s">
        <v>168</v>
      </c>
      <c r="C95" s="17"/>
      <c r="D95" s="18"/>
    </row>
    <row r="96" customFormat="false" ht="36" hidden="false" customHeight="true" outlineLevel="0" collapsed="false">
      <c r="A96" s="6" t="s">
        <v>169</v>
      </c>
      <c r="B96" s="16" t="s">
        <v>170</v>
      </c>
      <c r="C96" s="17"/>
      <c r="D96" s="18"/>
    </row>
    <row r="97" customFormat="false" ht="19.5" hidden="false" customHeight="true" outlineLevel="0" collapsed="false">
      <c r="A97" s="6" t="s">
        <v>171</v>
      </c>
      <c r="B97" s="16" t="s">
        <v>172</v>
      </c>
      <c r="C97" s="17"/>
      <c r="D97" s="18"/>
    </row>
    <row r="98" customFormat="false" ht="36" hidden="false" customHeight="true" outlineLevel="0" collapsed="false">
      <c r="A98" s="6" t="s">
        <v>173</v>
      </c>
      <c r="B98" s="16" t="s">
        <v>174</v>
      </c>
      <c r="C98" s="17"/>
      <c r="D98" s="18"/>
    </row>
    <row r="99" customFormat="false" ht="36" hidden="false" customHeight="true" outlineLevel="0" collapsed="false">
      <c r="A99" s="6" t="s">
        <v>175</v>
      </c>
      <c r="B99" s="16" t="s">
        <v>176</v>
      </c>
      <c r="C99" s="17"/>
      <c r="D99" s="18"/>
    </row>
    <row r="100" customFormat="false" ht="19.5" hidden="false" customHeight="true" outlineLevel="0" collapsed="false">
      <c r="A100" s="6" t="s">
        <v>177</v>
      </c>
      <c r="B100" s="16" t="s">
        <v>178</v>
      </c>
      <c r="C100" s="17"/>
      <c r="D100" s="18"/>
    </row>
    <row r="101" customFormat="false" ht="19.5" hidden="false" customHeight="true" outlineLevel="0" collapsed="false">
      <c r="A101" s="6" t="s">
        <v>179</v>
      </c>
      <c r="B101" s="16" t="s">
        <v>180</v>
      </c>
      <c r="C101" s="17"/>
      <c r="D101" s="18"/>
    </row>
    <row r="102" customFormat="false" ht="19.5" hidden="false" customHeight="true" outlineLevel="0" collapsed="false">
      <c r="A102" s="6" t="s">
        <v>181</v>
      </c>
      <c r="B102" s="16" t="s">
        <v>182</v>
      </c>
      <c r="C102" s="17"/>
      <c r="D102" s="18"/>
    </row>
    <row r="103" customFormat="false" ht="36" hidden="false" customHeight="true" outlineLevel="0" collapsed="false">
      <c r="A103" s="6" t="s">
        <v>183</v>
      </c>
      <c r="B103" s="16" t="s">
        <v>184</v>
      </c>
      <c r="C103" s="17"/>
      <c r="D103" s="18"/>
    </row>
    <row r="104" customFormat="false" ht="19.5" hidden="false" customHeight="true" outlineLevel="0" collapsed="false">
      <c r="A104" s="6" t="s">
        <v>185</v>
      </c>
      <c r="B104" s="16" t="s">
        <v>186</v>
      </c>
      <c r="C104" s="17"/>
      <c r="D104" s="18"/>
    </row>
    <row r="105" customFormat="false" ht="36" hidden="false" customHeight="true" outlineLevel="0" collapsed="false">
      <c r="A105" s="6" t="s">
        <v>187</v>
      </c>
      <c r="B105" s="16" t="s">
        <v>188</v>
      </c>
      <c r="C105" s="17"/>
      <c r="D105" s="18"/>
    </row>
    <row r="106" customFormat="false" ht="36" hidden="false" customHeight="true" outlineLevel="0" collapsed="false">
      <c r="A106" s="6" t="s">
        <v>189</v>
      </c>
      <c r="B106" s="16" t="s">
        <v>190</v>
      </c>
      <c r="C106" s="17"/>
      <c r="D106" s="18"/>
    </row>
    <row r="107" customFormat="false" ht="14.15" hidden="false" customHeight="false" outlineLevel="0" collapsed="false">
      <c r="A107" s="15" t="s">
        <v>191</v>
      </c>
      <c r="B107" s="15"/>
      <c r="C107" s="15"/>
      <c r="D107" s="15"/>
    </row>
    <row r="108" customFormat="false" ht="19.5" hidden="false" customHeight="true" outlineLevel="0" collapsed="false">
      <c r="A108" s="6" t="s">
        <v>192</v>
      </c>
      <c r="B108" s="16" t="s">
        <v>193</v>
      </c>
      <c r="C108" s="17"/>
      <c r="D108" s="18"/>
    </row>
    <row r="109" customFormat="false" ht="19.5" hidden="false" customHeight="true" outlineLevel="0" collapsed="false">
      <c r="A109" s="6" t="s">
        <v>194</v>
      </c>
      <c r="B109" s="16" t="s">
        <v>195</v>
      </c>
      <c r="C109" s="17"/>
      <c r="D109" s="18"/>
    </row>
    <row r="110" customFormat="false" ht="36" hidden="false" customHeight="true" outlineLevel="0" collapsed="false">
      <c r="A110" s="6" t="s">
        <v>196</v>
      </c>
      <c r="B110" s="16" t="s">
        <v>197</v>
      </c>
      <c r="C110" s="17"/>
      <c r="D110" s="18"/>
    </row>
    <row r="111" customFormat="false" ht="36" hidden="false" customHeight="true" outlineLevel="0" collapsed="false">
      <c r="A111" s="6" t="s">
        <v>198</v>
      </c>
      <c r="B111" s="16" t="s">
        <v>199</v>
      </c>
      <c r="C111" s="17"/>
      <c r="D111" s="18"/>
    </row>
    <row r="112" customFormat="false" ht="19.5" hidden="false" customHeight="true" outlineLevel="0" collapsed="false">
      <c r="A112" s="6" t="s">
        <v>200</v>
      </c>
      <c r="B112" s="16" t="s">
        <v>201</v>
      </c>
      <c r="C112" s="17"/>
      <c r="D112" s="18"/>
    </row>
    <row r="113" customFormat="false" ht="36" hidden="false" customHeight="true" outlineLevel="0" collapsed="false">
      <c r="A113" s="6" t="s">
        <v>202</v>
      </c>
      <c r="B113" s="16" t="s">
        <v>203</v>
      </c>
      <c r="C113" s="17"/>
      <c r="D113" s="18"/>
    </row>
    <row r="114" customFormat="false" ht="19.5" hidden="false" customHeight="true" outlineLevel="0" collapsed="false">
      <c r="A114" s="6" t="s">
        <v>204</v>
      </c>
      <c r="B114" s="16" t="s">
        <v>205</v>
      </c>
      <c r="C114" s="17"/>
      <c r="D114" s="18"/>
    </row>
    <row r="115" customFormat="false" ht="19.5" hidden="false" customHeight="true" outlineLevel="0" collapsed="false">
      <c r="A115" s="6" t="s">
        <v>206</v>
      </c>
      <c r="B115" s="16" t="s">
        <v>207</v>
      </c>
      <c r="C115" s="17"/>
      <c r="D115" s="18"/>
    </row>
    <row r="116" customFormat="false" ht="36" hidden="false" customHeight="true" outlineLevel="0" collapsed="false">
      <c r="A116" s="6" t="s">
        <v>208</v>
      </c>
      <c r="B116" s="16" t="s">
        <v>209</v>
      </c>
      <c r="C116" s="17"/>
      <c r="D116" s="18"/>
    </row>
    <row r="117" customFormat="false" ht="19.5" hidden="false" customHeight="true" outlineLevel="0" collapsed="false">
      <c r="A117" s="6" t="s">
        <v>210</v>
      </c>
      <c r="B117" s="16" t="s">
        <v>211</v>
      </c>
      <c r="C117" s="17"/>
      <c r="D117" s="18"/>
    </row>
    <row r="118" customFormat="false" ht="36" hidden="false" customHeight="true" outlineLevel="0" collapsed="false">
      <c r="A118" s="6" t="s">
        <v>212</v>
      </c>
      <c r="B118" s="16" t="s">
        <v>213</v>
      </c>
      <c r="C118" s="17"/>
      <c r="D118" s="18"/>
    </row>
    <row r="119" customFormat="false" ht="19.5" hidden="false" customHeight="true" outlineLevel="0" collapsed="false">
      <c r="A119" s="6" t="s">
        <v>214</v>
      </c>
      <c r="B119" s="16" t="s">
        <v>215</v>
      </c>
      <c r="C119" s="17"/>
      <c r="D119" s="18"/>
    </row>
    <row r="120" customFormat="false" ht="14.15" hidden="false" customHeight="false" outlineLevel="0" collapsed="false">
      <c r="A120" s="15" t="s">
        <v>216</v>
      </c>
      <c r="B120" s="15"/>
      <c r="C120" s="15"/>
      <c r="D120" s="15"/>
    </row>
    <row r="121" customFormat="false" ht="36" hidden="false" customHeight="true" outlineLevel="0" collapsed="false">
      <c r="A121" s="6" t="s">
        <v>217</v>
      </c>
      <c r="B121" s="16" t="s">
        <v>218</v>
      </c>
      <c r="C121" s="17"/>
      <c r="D121" s="18"/>
    </row>
    <row r="122" customFormat="false" ht="19.5" hidden="false" customHeight="true" outlineLevel="0" collapsed="false">
      <c r="A122" s="6" t="s">
        <v>219</v>
      </c>
      <c r="B122" s="16" t="s">
        <v>220</v>
      </c>
      <c r="C122" s="17"/>
      <c r="D122" s="18"/>
    </row>
    <row r="123" customFormat="false" ht="36" hidden="false" customHeight="true" outlineLevel="0" collapsed="false">
      <c r="A123" s="6" t="s">
        <v>221</v>
      </c>
      <c r="B123" s="16" t="s">
        <v>222</v>
      </c>
      <c r="C123" s="17"/>
      <c r="D123" s="18"/>
    </row>
    <row r="124" customFormat="false" ht="36" hidden="false" customHeight="true" outlineLevel="0" collapsed="false">
      <c r="A124" s="6" t="s">
        <v>223</v>
      </c>
      <c r="B124" s="16" t="s">
        <v>224</v>
      </c>
      <c r="C124" s="17"/>
      <c r="D124" s="18"/>
    </row>
    <row r="125" customFormat="false" ht="19.5" hidden="false" customHeight="true" outlineLevel="0" collapsed="false">
      <c r="A125" s="6" t="s">
        <v>225</v>
      </c>
      <c r="B125" s="19" t="s">
        <v>226</v>
      </c>
      <c r="C125" s="17"/>
      <c r="D125" s="18"/>
    </row>
    <row r="126" customFormat="false" ht="19.5" hidden="false" customHeight="true" outlineLevel="0" collapsed="false">
      <c r="A126" s="6" t="s">
        <v>227</v>
      </c>
      <c r="B126" s="16" t="s">
        <v>228</v>
      </c>
      <c r="C126" s="17"/>
      <c r="D126" s="18"/>
    </row>
    <row r="127" customFormat="false" ht="36" hidden="false" customHeight="true" outlineLevel="0" collapsed="false">
      <c r="A127" s="6" t="s">
        <v>229</v>
      </c>
      <c r="B127" s="16" t="s">
        <v>230</v>
      </c>
      <c r="C127" s="17"/>
      <c r="D127" s="18"/>
    </row>
    <row r="128" customFormat="false" ht="36" hidden="false" customHeight="true" outlineLevel="0" collapsed="false">
      <c r="A128" s="6" t="s">
        <v>231</v>
      </c>
      <c r="B128" s="16" t="s">
        <v>232</v>
      </c>
      <c r="C128" s="17"/>
      <c r="D128" s="18"/>
    </row>
    <row r="129" customFormat="false" ht="19.5" hidden="false" customHeight="true" outlineLevel="0" collapsed="false">
      <c r="A129" s="6" t="s">
        <v>233</v>
      </c>
      <c r="B129" s="16" t="s">
        <v>234</v>
      </c>
      <c r="C129" s="17"/>
      <c r="D129" s="18"/>
    </row>
  </sheetData>
  <mergeCells count="16">
    <mergeCell ref="A1:D1"/>
    <mergeCell ref="B3:D3"/>
    <mergeCell ref="B4:D4"/>
    <mergeCell ref="B5:D5"/>
    <mergeCell ref="B6:D6"/>
    <mergeCell ref="B7:D7"/>
    <mergeCell ref="B8:D8"/>
    <mergeCell ref="A17:D17"/>
    <mergeCell ref="A20:D20"/>
    <mergeCell ref="A33:D33"/>
    <mergeCell ref="A48:D48"/>
    <mergeCell ref="A63:D63"/>
    <mergeCell ref="A80:D80"/>
    <mergeCell ref="A91:D91"/>
    <mergeCell ref="A107:D107"/>
    <mergeCell ref="A120:D120"/>
  </mergeCells>
  <conditionalFormatting sqref="C20:C129">
    <cfRule type="cellIs" priority="2" operator="equal" aboveAverage="0" equalAverage="0" bottom="0" percent="0" rank="0" text="" dxfId="0">
      <formula>"×"</formula>
    </cfRule>
  </conditionalFormatting>
  <conditionalFormatting sqref="C12">
    <cfRule type="expression" priority="3" aboveAverage="0" equalAverage="0" bottom="0" percent="0" rank="0" text="" dxfId="1">
      <formula>C12&gt;0</formula>
    </cfRule>
  </conditionalFormatting>
  <dataValidations count="1">
    <dataValidation allowBlank="true" error="○・×・－ から選んでください" errorStyle="stop" errorTitle="判定" operator="between" showDropDown="false" showErrorMessage="false" showInputMessage="false" sqref="C20:C129" type="list">
      <formula1>"○,×,－"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20" t="s">
        <v>235</v>
      </c>
    </row>
    <row r="2" customFormat="false" ht="15" hidden="false" customHeight="false" outlineLevel="0" collapsed="false">
      <c r="A2" s="21" t="s">
        <v>236</v>
      </c>
    </row>
    <row r="4" customFormat="false" ht="15" hidden="false" customHeight="false" outlineLevel="0" collapsed="false">
      <c r="A4" s="14" t="s">
        <v>237</v>
      </c>
      <c r="B4" s="14" t="s">
        <v>238</v>
      </c>
      <c r="C4" s="14" t="s">
        <v>239</v>
      </c>
      <c r="D4" s="14" t="s">
        <v>240</v>
      </c>
    </row>
    <row r="5" customFormat="false" ht="31.5" hidden="false" customHeight="true" outlineLevel="0" collapsed="false">
      <c r="A5" s="10" t="s">
        <v>241</v>
      </c>
      <c r="B5" s="19" t="s">
        <v>242</v>
      </c>
      <c r="C5" s="18"/>
      <c r="D5" s="16" t="s">
        <v>243</v>
      </c>
    </row>
    <row r="6" customFormat="false" ht="31.5" hidden="false" customHeight="true" outlineLevel="0" collapsed="false">
      <c r="A6" s="10" t="s">
        <v>244</v>
      </c>
      <c r="B6" s="19" t="s">
        <v>245</v>
      </c>
      <c r="C6" s="18"/>
      <c r="D6" s="16" t="s">
        <v>246</v>
      </c>
    </row>
    <row r="7" customFormat="false" ht="31.5" hidden="false" customHeight="true" outlineLevel="0" collapsed="false">
      <c r="A7" s="10" t="s">
        <v>247</v>
      </c>
      <c r="B7" s="19" t="s">
        <v>248</v>
      </c>
      <c r="C7" s="18"/>
      <c r="D7" s="16" t="s">
        <v>249</v>
      </c>
    </row>
    <row r="8" customFormat="false" ht="31.5" hidden="false" customHeight="true" outlineLevel="0" collapsed="false">
      <c r="A8" s="10" t="s">
        <v>250</v>
      </c>
      <c r="B8" s="16" t="s">
        <v>251</v>
      </c>
      <c r="C8" s="18"/>
      <c r="D8" s="16" t="s">
        <v>252</v>
      </c>
    </row>
    <row r="9" customFormat="false" ht="31.5" hidden="false" customHeight="true" outlineLevel="0" collapsed="false">
      <c r="A9" s="10" t="s">
        <v>253</v>
      </c>
      <c r="B9" s="16" t="s">
        <v>254</v>
      </c>
      <c r="C9" s="18"/>
      <c r="D9" s="16" t="s">
        <v>255</v>
      </c>
    </row>
    <row r="10" customFormat="false" ht="31.5" hidden="false" customHeight="true" outlineLevel="0" collapsed="false">
      <c r="A10" s="10" t="s">
        <v>256</v>
      </c>
      <c r="B10" s="16" t="s">
        <v>257</v>
      </c>
      <c r="C10" s="18"/>
      <c r="D10" s="16" t="s">
        <v>258</v>
      </c>
    </row>
    <row r="11" customFormat="false" ht="31.5" hidden="false" customHeight="true" outlineLevel="0" collapsed="false">
      <c r="A11" s="10" t="s">
        <v>259</v>
      </c>
      <c r="B11" s="19" t="s">
        <v>260</v>
      </c>
      <c r="C11" s="18"/>
      <c r="D11" s="16" t="s">
        <v>261</v>
      </c>
    </row>
  </sheetData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34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8" min="7" style="0" width="10"/>
  </cols>
  <sheetData>
    <row r="1" customFormat="false" ht="17.35" hidden="false" customHeight="false" outlineLevel="0" collapsed="false">
      <c r="A1" s="20" t="s">
        <v>262</v>
      </c>
    </row>
    <row r="2" customFormat="false" ht="15" hidden="false" customHeight="false" outlineLevel="0" collapsed="false">
      <c r="A2" s="21" t="s">
        <v>263</v>
      </c>
    </row>
    <row r="4" customFormat="false" ht="15" hidden="false" customHeight="false" outlineLevel="0" collapsed="false">
      <c r="A4" s="14" t="s">
        <v>264</v>
      </c>
      <c r="B4" s="14" t="s">
        <v>265</v>
      </c>
      <c r="C4" s="14" t="s">
        <v>266</v>
      </c>
      <c r="D4" s="14" t="s">
        <v>267</v>
      </c>
      <c r="E4" s="14" t="s">
        <v>268</v>
      </c>
      <c r="F4" s="14" t="s">
        <v>269</v>
      </c>
      <c r="G4" s="14" t="s">
        <v>270</v>
      </c>
      <c r="H4" s="14" t="s">
        <v>271</v>
      </c>
    </row>
    <row r="5" customFormat="false" ht="31.5" hidden="false" customHeight="true" outlineLevel="0" collapsed="false">
      <c r="A5" s="22" t="s">
        <v>51</v>
      </c>
      <c r="B5" s="22" t="s">
        <v>272</v>
      </c>
      <c r="C5" s="23" t="s">
        <v>273</v>
      </c>
      <c r="D5" s="23" t="s">
        <v>274</v>
      </c>
      <c r="E5" s="24" t="s">
        <v>275</v>
      </c>
      <c r="F5" s="24" t="s">
        <v>275</v>
      </c>
      <c r="G5" s="23" t="s">
        <v>276</v>
      </c>
      <c r="H5" s="25" t="str">
        <f aca="true">IF(A5="","",IF(F5&lt;&gt;"","完了",IF(AND(ISNUMBER(E5),E5&lt;TODAY()),"期限超過","対応中")))</f>
        <v>完了</v>
      </c>
    </row>
    <row r="6" customFormat="false" ht="27.75" hidden="false" customHeight="true" outlineLevel="0" collapsed="false">
      <c r="A6" s="18"/>
      <c r="B6" s="18"/>
      <c r="C6" s="18"/>
      <c r="D6" s="18"/>
      <c r="E6" s="26"/>
      <c r="F6" s="26"/>
      <c r="G6" s="18"/>
      <c r="H6" s="6" t="str">
        <f aca="true">IF(A6="","",IF(F6&lt;&gt;"","完了",IF(AND(ISNUMBER(E6),E6&lt;TODAY()),"期限超過","対応中")))</f>
        <v/>
      </c>
    </row>
    <row r="7" customFormat="false" ht="27.75" hidden="false" customHeight="true" outlineLevel="0" collapsed="false">
      <c r="A7" s="18"/>
      <c r="B7" s="18"/>
      <c r="C7" s="18"/>
      <c r="D7" s="18"/>
      <c r="E7" s="26"/>
      <c r="F7" s="26"/>
      <c r="G7" s="18"/>
      <c r="H7" s="6" t="str">
        <f aca="true">IF(A7="","",IF(F7&lt;&gt;"","完了",IF(AND(ISNUMBER(E7),E7&lt;TODAY()),"期限超過","対応中")))</f>
        <v/>
      </c>
    </row>
    <row r="8" customFormat="false" ht="27.75" hidden="false" customHeight="true" outlineLevel="0" collapsed="false">
      <c r="A8" s="18"/>
      <c r="B8" s="18"/>
      <c r="C8" s="18"/>
      <c r="D8" s="18"/>
      <c r="E8" s="26"/>
      <c r="F8" s="26"/>
      <c r="G8" s="18"/>
      <c r="H8" s="6" t="str">
        <f aca="true">IF(A8="","",IF(F8&lt;&gt;"","完了",IF(AND(ISNUMBER(E8),E8&lt;TODAY()),"期限超過","対応中")))</f>
        <v/>
      </c>
    </row>
    <row r="9" customFormat="false" ht="27.75" hidden="false" customHeight="true" outlineLevel="0" collapsed="false">
      <c r="A9" s="18"/>
      <c r="B9" s="18"/>
      <c r="C9" s="18"/>
      <c r="D9" s="18"/>
      <c r="E9" s="26"/>
      <c r="F9" s="26"/>
      <c r="G9" s="18"/>
      <c r="H9" s="6" t="str">
        <f aca="true">IF(A9="","",IF(F9&lt;&gt;"","完了",IF(AND(ISNUMBER(E9),E9&lt;TODAY()),"期限超過","対応中")))</f>
        <v/>
      </c>
    </row>
    <row r="10" customFormat="false" ht="27.75" hidden="false" customHeight="true" outlineLevel="0" collapsed="false">
      <c r="A10" s="18"/>
      <c r="B10" s="18"/>
      <c r="C10" s="18"/>
      <c r="D10" s="18"/>
      <c r="E10" s="26"/>
      <c r="F10" s="26"/>
      <c r="G10" s="18"/>
      <c r="H10" s="6" t="str">
        <f aca="true">IF(A10="","",IF(F10&lt;&gt;"","完了",IF(AND(ISNUMBER(E10),E10&lt;TODAY()),"期限超過","対応中")))</f>
        <v/>
      </c>
    </row>
    <row r="11" customFormat="false" ht="27.75" hidden="false" customHeight="true" outlineLevel="0" collapsed="false">
      <c r="A11" s="18"/>
      <c r="B11" s="18"/>
      <c r="C11" s="18"/>
      <c r="D11" s="18"/>
      <c r="E11" s="26"/>
      <c r="F11" s="26"/>
      <c r="G11" s="18"/>
      <c r="H11" s="6" t="str">
        <f aca="true">IF(A11="","",IF(F11&lt;&gt;"","完了",IF(AND(ISNUMBER(E11),E11&lt;TODAY()),"期限超過","対応中")))</f>
        <v/>
      </c>
    </row>
    <row r="12" customFormat="false" ht="27.75" hidden="false" customHeight="true" outlineLevel="0" collapsed="false">
      <c r="A12" s="18"/>
      <c r="B12" s="18"/>
      <c r="C12" s="18"/>
      <c r="D12" s="18"/>
      <c r="E12" s="26"/>
      <c r="F12" s="26"/>
      <c r="G12" s="18"/>
      <c r="H12" s="6" t="str">
        <f aca="true">IF(A12="","",IF(F12&lt;&gt;"","完了",IF(AND(ISNUMBER(E12),E12&lt;TODAY()),"期限超過","対応中")))</f>
        <v/>
      </c>
    </row>
    <row r="13" customFormat="false" ht="27.75" hidden="false" customHeight="true" outlineLevel="0" collapsed="false">
      <c r="A13" s="18"/>
      <c r="B13" s="18"/>
      <c r="C13" s="18"/>
      <c r="D13" s="18"/>
      <c r="E13" s="26"/>
      <c r="F13" s="26"/>
      <c r="G13" s="18"/>
      <c r="H13" s="6" t="str">
        <f aca="true">IF(A13="","",IF(F13&lt;&gt;"","完了",IF(AND(ISNUMBER(E13),E13&lt;TODAY()),"期限超過","対応中")))</f>
        <v/>
      </c>
    </row>
    <row r="14" customFormat="false" ht="27.75" hidden="false" customHeight="true" outlineLevel="0" collapsed="false">
      <c r="A14" s="18"/>
      <c r="B14" s="18"/>
      <c r="C14" s="18"/>
      <c r="D14" s="18"/>
      <c r="E14" s="26"/>
      <c r="F14" s="26"/>
      <c r="G14" s="18"/>
      <c r="H14" s="6" t="str">
        <f aca="true">IF(A14="","",IF(F14&lt;&gt;"","完了",IF(AND(ISNUMBER(E14),E14&lt;TODAY()),"期限超過","対応中")))</f>
        <v/>
      </c>
    </row>
    <row r="15" customFormat="false" ht="27.75" hidden="false" customHeight="true" outlineLevel="0" collapsed="false">
      <c r="A15" s="18"/>
      <c r="B15" s="18"/>
      <c r="C15" s="18"/>
      <c r="D15" s="18"/>
      <c r="E15" s="26"/>
      <c r="F15" s="26"/>
      <c r="G15" s="18"/>
      <c r="H15" s="6" t="str">
        <f aca="true">IF(A15="","",IF(F15&lt;&gt;"","完了",IF(AND(ISNUMBER(E15),E15&lt;TODAY()),"期限超過","対応中")))</f>
        <v/>
      </c>
    </row>
    <row r="16" customFormat="false" ht="27.75" hidden="false" customHeight="true" outlineLevel="0" collapsed="false">
      <c r="A16" s="18"/>
      <c r="B16" s="18"/>
      <c r="C16" s="18"/>
      <c r="D16" s="18"/>
      <c r="E16" s="26"/>
      <c r="F16" s="26"/>
      <c r="G16" s="18"/>
      <c r="H16" s="6" t="str">
        <f aca="true">IF(A16="","",IF(F16&lt;&gt;"","完了",IF(AND(ISNUMBER(E16),E16&lt;TODAY()),"期限超過","対応中")))</f>
        <v/>
      </c>
    </row>
    <row r="17" customFormat="false" ht="27.75" hidden="false" customHeight="true" outlineLevel="0" collapsed="false">
      <c r="A17" s="18"/>
      <c r="B17" s="18"/>
      <c r="C17" s="18"/>
      <c r="D17" s="18"/>
      <c r="E17" s="26"/>
      <c r="F17" s="26"/>
      <c r="G17" s="18"/>
      <c r="H17" s="6" t="str">
        <f aca="true">IF(A17="","",IF(F17&lt;&gt;"","完了",IF(AND(ISNUMBER(E17),E17&lt;TODAY()),"期限超過","対応中")))</f>
        <v/>
      </c>
    </row>
    <row r="18" customFormat="false" ht="27.75" hidden="false" customHeight="true" outlineLevel="0" collapsed="false">
      <c r="A18" s="18"/>
      <c r="B18" s="18"/>
      <c r="C18" s="18"/>
      <c r="D18" s="18"/>
      <c r="E18" s="26"/>
      <c r="F18" s="26"/>
      <c r="G18" s="18"/>
      <c r="H18" s="6" t="str">
        <f aca="true">IF(A18="","",IF(F18&lt;&gt;"","完了",IF(AND(ISNUMBER(E18),E18&lt;TODAY()),"期限超過","対応中")))</f>
        <v/>
      </c>
    </row>
    <row r="19" customFormat="false" ht="27.75" hidden="false" customHeight="true" outlineLevel="0" collapsed="false">
      <c r="A19" s="18"/>
      <c r="B19" s="18"/>
      <c r="C19" s="18"/>
      <c r="D19" s="18"/>
      <c r="E19" s="26"/>
      <c r="F19" s="26"/>
      <c r="G19" s="18"/>
      <c r="H19" s="6" t="str">
        <f aca="true">IF(A19="","",IF(F19&lt;&gt;"","完了",IF(AND(ISNUMBER(E19),E19&lt;TODAY()),"期限超過","対応中")))</f>
        <v/>
      </c>
    </row>
    <row r="20" customFormat="false" ht="27.75" hidden="false" customHeight="true" outlineLevel="0" collapsed="false">
      <c r="A20" s="18"/>
      <c r="B20" s="18"/>
      <c r="C20" s="18"/>
      <c r="D20" s="18"/>
      <c r="E20" s="26"/>
      <c r="F20" s="26"/>
      <c r="G20" s="18"/>
      <c r="H20" s="6" t="str">
        <f aca="true">IF(A20="","",IF(F20&lt;&gt;"","完了",IF(AND(ISNUMBER(E20),E20&lt;TODAY()),"期限超過","対応中")))</f>
        <v/>
      </c>
    </row>
    <row r="21" customFormat="false" ht="27.75" hidden="false" customHeight="true" outlineLevel="0" collapsed="false">
      <c r="A21" s="18"/>
      <c r="B21" s="18"/>
      <c r="C21" s="18"/>
      <c r="D21" s="18"/>
      <c r="E21" s="26"/>
      <c r="F21" s="26"/>
      <c r="G21" s="18"/>
      <c r="H21" s="6" t="str">
        <f aca="true">IF(A21="","",IF(F21&lt;&gt;"","完了",IF(AND(ISNUMBER(E21),E21&lt;TODAY()),"期限超過","対応中")))</f>
        <v/>
      </c>
    </row>
    <row r="22" customFormat="false" ht="27.75" hidden="false" customHeight="true" outlineLevel="0" collapsed="false">
      <c r="A22" s="18"/>
      <c r="B22" s="18"/>
      <c r="C22" s="18"/>
      <c r="D22" s="18"/>
      <c r="E22" s="26"/>
      <c r="F22" s="26"/>
      <c r="G22" s="18"/>
      <c r="H22" s="6" t="str">
        <f aca="true">IF(A22="","",IF(F22&lt;&gt;"","完了",IF(AND(ISNUMBER(E22),E22&lt;TODAY()),"期限超過","対応中")))</f>
        <v/>
      </c>
    </row>
    <row r="23" customFormat="false" ht="27.75" hidden="false" customHeight="true" outlineLevel="0" collapsed="false">
      <c r="A23" s="18"/>
      <c r="B23" s="18"/>
      <c r="C23" s="18"/>
      <c r="D23" s="18"/>
      <c r="E23" s="26"/>
      <c r="F23" s="26"/>
      <c r="G23" s="18"/>
      <c r="H23" s="6" t="str">
        <f aca="true">IF(A23="","",IF(F23&lt;&gt;"","完了",IF(AND(ISNUMBER(E23),E23&lt;TODAY()),"期限超過","対応中")))</f>
        <v/>
      </c>
    </row>
    <row r="24" customFormat="false" ht="27.75" hidden="false" customHeight="true" outlineLevel="0" collapsed="false">
      <c r="A24" s="18"/>
      <c r="B24" s="18"/>
      <c r="C24" s="18"/>
      <c r="D24" s="18"/>
      <c r="E24" s="26"/>
      <c r="F24" s="26"/>
      <c r="G24" s="18"/>
      <c r="H24" s="6" t="str">
        <f aca="true">IF(A24="","",IF(F24&lt;&gt;"","完了",IF(AND(ISNUMBER(E24),E24&lt;TODAY()),"期限超過","対応中")))</f>
        <v/>
      </c>
    </row>
    <row r="25" customFormat="false" ht="27.75" hidden="false" customHeight="true" outlineLevel="0" collapsed="false">
      <c r="A25" s="18"/>
      <c r="B25" s="18"/>
      <c r="C25" s="18"/>
      <c r="D25" s="18"/>
      <c r="E25" s="26"/>
      <c r="F25" s="26"/>
      <c r="G25" s="18"/>
      <c r="H25" s="6" t="str">
        <f aca="true">IF(A25="","",IF(F25&lt;&gt;"","完了",IF(AND(ISNUMBER(E25),E25&lt;TODAY()),"期限超過","対応中")))</f>
        <v/>
      </c>
    </row>
    <row r="28" customFormat="false" ht="15" hidden="false" customHeight="false" outlineLevel="0" collapsed="false">
      <c r="A28" s="27" t="s">
        <v>277</v>
      </c>
    </row>
    <row r="29" customFormat="false" ht="15" hidden="false" customHeight="false" outlineLevel="0" collapsed="false">
      <c r="A29" s="14" t="s">
        <v>278</v>
      </c>
      <c r="B29" s="14" t="s">
        <v>279</v>
      </c>
      <c r="C29" s="14" t="s">
        <v>280</v>
      </c>
    </row>
    <row r="30" customFormat="false" ht="24" hidden="false" customHeight="true" outlineLevel="0" collapsed="false">
      <c r="A30" s="7" t="s">
        <v>281</v>
      </c>
      <c r="B30" s="28"/>
      <c r="C30" s="29"/>
    </row>
    <row r="31" customFormat="false" ht="24" hidden="false" customHeight="true" outlineLevel="0" collapsed="false">
      <c r="A31" s="7" t="s">
        <v>282</v>
      </c>
      <c r="B31" s="28"/>
      <c r="C31" s="29"/>
    </row>
    <row r="32" customFormat="false" ht="24" hidden="false" customHeight="true" outlineLevel="0" collapsed="false">
      <c r="A32" s="7" t="s">
        <v>283</v>
      </c>
      <c r="B32" s="28"/>
      <c r="C32" s="29"/>
    </row>
    <row r="33" customFormat="false" ht="24" hidden="false" customHeight="true" outlineLevel="0" collapsed="false">
      <c r="A33" s="7" t="s">
        <v>284</v>
      </c>
      <c r="B33" s="28"/>
      <c r="C33" s="29"/>
    </row>
  </sheetData>
  <conditionalFormatting sqref="H5:H25">
    <cfRule type="cellIs" priority="2" operator="equal" aboveAverage="0" equalAverage="0" bottom="0" percent="0" rank="0" text="" dxfId="1">
      <formula>"期限超過"</formula>
    </cfRule>
  </conditionalFormatting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34"/>
  </cols>
  <sheetData>
    <row r="1" customFormat="false" ht="15" hidden="false" customHeight="false" outlineLevel="0" collapsed="false">
      <c r="A1" s="30" t="s">
        <v>285</v>
      </c>
    </row>
    <row r="2" customFormat="false" ht="15" hidden="false" customHeight="false" outlineLevel="0" collapsed="false">
      <c r="A2" s="31" t="s">
        <v>286</v>
      </c>
      <c r="B2" s="32" t="s">
        <v>287</v>
      </c>
    </row>
    <row r="3" customFormat="false" ht="15" hidden="false" customHeight="false" outlineLevel="0" collapsed="false">
      <c r="A3" s="32" t="s">
        <v>288</v>
      </c>
      <c r="B3" s="32" t="s">
        <v>289</v>
      </c>
    </row>
    <row r="4" customFormat="false" ht="15" hidden="false" customHeight="false" outlineLevel="0" collapsed="false">
      <c r="A4" s="32" t="s">
        <v>290</v>
      </c>
      <c r="B4" s="32" t="s">
        <v>291</v>
      </c>
    </row>
    <row r="5" customFormat="false" ht="15" hidden="false" customHeight="false" outlineLevel="0" collapsed="false">
      <c r="A5" s="32" t="s">
        <v>292</v>
      </c>
      <c r="B5" s="32" t="s">
        <v>293</v>
      </c>
    </row>
    <row r="7" customFormat="false" ht="15" hidden="false" customHeight="false" outlineLevel="0" collapsed="false">
      <c r="A7" s="30" t="s">
        <v>294</v>
      </c>
    </row>
    <row r="8" customFormat="false" ht="15" hidden="false" customHeight="false" outlineLevel="0" collapsed="false">
      <c r="A8" s="14" t="s">
        <v>295</v>
      </c>
      <c r="B8" s="14" t="s">
        <v>296</v>
      </c>
      <c r="C8" s="14" t="s">
        <v>297</v>
      </c>
    </row>
    <row r="9" customFormat="false" ht="15" hidden="false" customHeight="false" outlineLevel="0" collapsed="false">
      <c r="A9" s="16" t="s">
        <v>298</v>
      </c>
      <c r="B9" s="16" t="s">
        <v>299</v>
      </c>
      <c r="C9" s="16" t="s">
        <v>300</v>
      </c>
    </row>
    <row r="10" customFormat="false" ht="15" hidden="false" customHeight="false" outlineLevel="0" collapsed="false">
      <c r="A10" s="16" t="s">
        <v>301</v>
      </c>
      <c r="B10" s="16" t="s">
        <v>302</v>
      </c>
      <c r="C10" s="16" t="s">
        <v>303</v>
      </c>
    </row>
    <row r="11" customFormat="false" ht="15" hidden="false" customHeight="false" outlineLevel="0" collapsed="false">
      <c r="A11" s="16" t="s">
        <v>304</v>
      </c>
      <c r="B11" s="16" t="s">
        <v>305</v>
      </c>
      <c r="C11" s="16" t="s">
        <v>306</v>
      </c>
    </row>
    <row r="12" customFormat="false" ht="15" hidden="false" customHeight="false" outlineLevel="0" collapsed="false">
      <c r="A12" s="16" t="s">
        <v>307</v>
      </c>
      <c r="B12" s="16" t="s">
        <v>308</v>
      </c>
      <c r="C12" s="16" t="s">
        <v>309</v>
      </c>
    </row>
    <row r="14" customFormat="false" ht="15" hidden="false" customHeight="false" outlineLevel="0" collapsed="false">
      <c r="A14" s="30" t="s">
        <v>310</v>
      </c>
    </row>
    <row r="15" customFormat="false" ht="26.85" hidden="false" customHeight="false" outlineLevel="0" collapsed="false">
      <c r="A15" s="33" t="s">
        <v>311</v>
      </c>
      <c r="B15" s="33" t="s">
        <v>312</v>
      </c>
    </row>
    <row r="16" customFormat="false" ht="15" hidden="false" customHeight="false" outlineLevel="0" collapsed="false">
      <c r="A16" s="33" t="s">
        <v>313</v>
      </c>
      <c r="B16" s="32" t="s">
        <v>314</v>
      </c>
    </row>
    <row r="17" customFormat="false" ht="15" hidden="false" customHeight="false" outlineLevel="0" collapsed="false">
      <c r="A17" s="33" t="s">
        <v>315</v>
      </c>
      <c r="B17" s="32" t="s">
        <v>316</v>
      </c>
    </row>
    <row r="19" customFormat="false" ht="15" hidden="false" customHeight="false" outlineLevel="0" collapsed="false">
      <c r="A19" s="30" t="s">
        <v>317</v>
      </c>
    </row>
    <row r="20" customFormat="false" ht="15" hidden="false" customHeight="false" outlineLevel="0" collapsed="false">
      <c r="A20" s="14" t="s">
        <v>318</v>
      </c>
      <c r="B20" s="14" t="s">
        <v>319</v>
      </c>
    </row>
    <row r="21" customFormat="false" ht="30" hidden="false" customHeight="true" outlineLevel="0" collapsed="false">
      <c r="A21" s="16" t="s">
        <v>320</v>
      </c>
      <c r="B21" s="19" t="s">
        <v>321</v>
      </c>
    </row>
    <row r="22" customFormat="false" ht="30" hidden="false" customHeight="true" outlineLevel="0" collapsed="false">
      <c r="A22" s="16" t="s">
        <v>322</v>
      </c>
      <c r="B22" s="19" t="s">
        <v>323</v>
      </c>
    </row>
    <row r="23" customFormat="false" ht="30" hidden="false" customHeight="true" outlineLevel="0" collapsed="false">
      <c r="A23" s="16" t="s">
        <v>324</v>
      </c>
      <c r="B23" s="19" t="s">
        <v>325</v>
      </c>
    </row>
    <row r="24" customFormat="false" ht="30" hidden="false" customHeight="true" outlineLevel="0" collapsed="false">
      <c r="A24" s="16" t="s">
        <v>326</v>
      </c>
      <c r="B24" s="19" t="s">
        <v>327</v>
      </c>
    </row>
    <row r="25" customFormat="false" ht="30" hidden="false" customHeight="true" outlineLevel="0" collapsed="false">
      <c r="A25" s="16" t="s">
        <v>328</v>
      </c>
      <c r="B25" s="19" t="s">
        <v>329</v>
      </c>
    </row>
    <row r="26" customFormat="false" ht="30" hidden="false" customHeight="true" outlineLevel="0" collapsed="false">
      <c r="A26" s="16" t="s">
        <v>330</v>
      </c>
      <c r="B26" s="19" t="s">
        <v>331</v>
      </c>
    </row>
    <row r="27" customFormat="false" ht="30" hidden="false" customHeight="true" outlineLevel="0" collapsed="false">
      <c r="A27" s="16" t="s">
        <v>332</v>
      </c>
      <c r="B27" s="19" t="s">
        <v>333</v>
      </c>
    </row>
    <row r="28" customFormat="false" ht="30" hidden="false" customHeight="true" outlineLevel="0" collapsed="false">
      <c r="A28" s="16" t="s">
        <v>334</v>
      </c>
      <c r="B28" s="16" t="s">
        <v>335</v>
      </c>
    </row>
    <row r="30" customFormat="false" ht="31.5" hidden="false" customHeight="true" outlineLevel="0" collapsed="false">
      <c r="A30" s="34" t="s">
        <v>336</v>
      </c>
      <c r="B30" s="35" t="s">
        <v>337</v>
      </c>
      <c r="C30" s="35"/>
    </row>
  </sheetData>
  <mergeCells count="1">
    <mergeCell ref="B30:C30"/>
  </mergeCell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2026-10-08T13:08:13Z</dcterms:created>
  <dc:creator>openpyxl</dc:creator>
  <dc:description/>
  <dc:language>en-US</dc:language>
  <cp:lastModifiedBy/>
  <dcterms:modified xsi:type="dcterms:W3CDTF">2026-10-08T13:08:13Z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