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現場確認日一覧" sheetId="1" state="visible" r:id="rId3"/>
    <sheet name="安全対策（類型別）" sheetId="2" state="visible" r:id="rId4"/>
    <sheet name="月別集計" sheetId="3" state="visible" r:id="rId5"/>
    <sheet name="参考（現地か不明）" sheetId="4" state="visible" r:id="rId6"/>
  </sheets>
  <definedNames>
    <definedName function="false" hidden="false" localSheetId="0" name="_xlnm.Print_Titles" vbProcedure="false">現場確認日一覧!$4:$4</definedName>
    <definedName function="false" hidden="true" localSheetId="0" name="_xlnm._FilterDatabase" vbProcedure="false">現場確認日一覧!$A$4:$O$55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<sst xmlns="http://schemas.openxmlformats.org/spreadsheetml/2006/main" count="630" uniqueCount="163">
  <si>
    <r>
      <rPr>
        <b val="true"/>
        <sz val="14"/>
        <rFont val="WenQuanYi Zen Hei"/>
        <family val="2"/>
      </rPr>
      <t xml:space="preserve">現場確認日一覧及び考えられる安全対策（令和</t>
    </r>
    <r>
      <rPr>
        <b val="true"/>
        <sz val="14"/>
        <rFont val="ＭＳ Ｐ明朝"/>
        <family val="0"/>
        <charset val="1"/>
      </rPr>
      <t xml:space="preserve">8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ＭＳ Ｐ明朝"/>
        <family val="0"/>
        <charset val="1"/>
      </rPr>
      <t xml:space="preserve">7</t>
    </r>
    <r>
      <rPr>
        <b val="true"/>
        <sz val="14"/>
        <rFont val="WenQuanYi Zen Hei"/>
        <family val="2"/>
      </rPr>
      <t xml:space="preserve">月～</t>
    </r>
    <r>
      <rPr>
        <b val="true"/>
        <sz val="14"/>
        <rFont val="ＭＳ Ｐ明朝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</t>
    </r>
  </si>
  <si>
    <r>
      <rPr>
        <sz val="9"/>
        <rFont val="WenQuanYi Zen Hei"/>
        <family val="2"/>
      </rPr>
      <t xml:space="preserve">出典：業務処理結果報告書（令和</t>
    </r>
    <r>
      <rPr>
        <sz val="9"/>
        <rFont val="ＭＳ Ｐ明朝"/>
        <family val="0"/>
        <charset val="1"/>
      </rPr>
      <t xml:space="preserve">8</t>
    </r>
    <r>
      <rPr>
        <sz val="9"/>
        <rFont val="WenQuanYi Zen Hei"/>
        <family val="2"/>
      </rPr>
      <t xml:space="preserve">年</t>
    </r>
    <r>
      <rPr>
        <sz val="9"/>
        <rFont val="ＭＳ Ｐ明朝"/>
        <family val="0"/>
        <charset val="1"/>
      </rPr>
      <t xml:space="preserve">7</t>
    </r>
    <r>
      <rPr>
        <sz val="9"/>
        <rFont val="WenQuanYi Zen Hei"/>
        <family val="2"/>
      </rPr>
      <t xml:space="preserve">月分 №</t>
    </r>
    <r>
      <rPr>
        <sz val="9"/>
        <rFont val="ＭＳ Ｐ明朝"/>
        <family val="0"/>
        <charset val="1"/>
      </rPr>
      <t xml:space="preserve">62</t>
    </r>
    <r>
      <rPr>
        <sz val="9"/>
        <rFont val="WenQuanYi Zen Hei"/>
        <family val="2"/>
      </rPr>
      <t xml:space="preserve">～</t>
    </r>
    <r>
      <rPr>
        <sz val="9"/>
        <rFont val="ＭＳ Ｐ明朝"/>
        <family val="0"/>
        <charset val="1"/>
      </rPr>
      <t xml:space="preserve">83</t>
    </r>
    <r>
      <rPr>
        <sz val="9"/>
        <rFont val="WenQuanYi Zen Hei"/>
        <family val="2"/>
      </rPr>
      <t xml:space="preserve">、</t>
    </r>
    <r>
      <rPr>
        <sz val="9"/>
        <rFont val="ＭＳ Ｐ明朝"/>
        <family val="0"/>
        <charset val="1"/>
      </rPr>
      <t xml:space="preserve">8</t>
    </r>
    <r>
      <rPr>
        <sz val="9"/>
        <rFont val="WenQuanYi Zen Hei"/>
        <family val="2"/>
      </rPr>
      <t xml:space="preserve">月分 №</t>
    </r>
    <r>
      <rPr>
        <sz val="9"/>
        <rFont val="ＭＳ Ｐ明朝"/>
        <family val="0"/>
        <charset val="1"/>
      </rPr>
      <t xml:space="preserve">84</t>
    </r>
    <r>
      <rPr>
        <sz val="9"/>
        <rFont val="WenQuanYi Zen Hei"/>
        <family val="2"/>
      </rPr>
      <t xml:space="preserve">～</t>
    </r>
    <r>
      <rPr>
        <sz val="9"/>
        <rFont val="ＭＳ Ｐ明朝"/>
        <family val="0"/>
        <charset val="1"/>
      </rPr>
      <t xml:space="preserve">103</t>
    </r>
    <r>
      <rPr>
        <sz val="9"/>
        <rFont val="WenQuanYi Zen Hei"/>
        <family val="2"/>
      </rPr>
      <t xml:space="preserve">、</t>
    </r>
    <r>
      <rPr>
        <sz val="9"/>
        <rFont val="ＭＳ Ｐ明朝"/>
        <family val="0"/>
        <charset val="1"/>
      </rPr>
      <t xml:space="preserve">9</t>
    </r>
    <r>
      <rPr>
        <sz val="9"/>
        <rFont val="WenQuanYi Zen Hei"/>
        <family val="2"/>
      </rPr>
      <t xml:space="preserve">月分 №</t>
    </r>
    <r>
      <rPr>
        <sz val="9"/>
        <rFont val="ＭＳ Ｐ明朝"/>
        <family val="0"/>
        <charset val="1"/>
      </rPr>
      <t xml:space="preserve">104</t>
    </r>
    <r>
      <rPr>
        <sz val="9"/>
        <rFont val="WenQuanYi Zen Hei"/>
        <family val="2"/>
      </rPr>
      <t xml:space="preserve">～</t>
    </r>
    <r>
      <rPr>
        <sz val="9"/>
        <rFont val="ＭＳ Ｐ明朝"/>
        <family val="0"/>
        <charset val="1"/>
      </rPr>
      <t xml:space="preserve">122</t>
    </r>
    <r>
      <rPr>
        <sz val="9"/>
        <rFont val="WenQuanYi Zen Hei"/>
        <family val="2"/>
      </rPr>
      <t xml:space="preserve">）。執務室業務・河川砂防課での打合せ・書面検査は除外。安全対策は類型ごとに考えられるもの（日報に実施記録はない）。</t>
    </r>
  </si>
  <si>
    <t xml:space="preserve">No.</t>
  </si>
  <si>
    <t xml:space="preserve">実施日</t>
  </si>
  <si>
    <t xml:space="preserve">曜</t>
  </si>
  <si>
    <t xml:space="preserve">天候</t>
  </si>
  <si>
    <t xml:space="preserve">報告書№</t>
  </si>
  <si>
    <t xml:space="preserve">開始時刻</t>
  </si>
  <si>
    <t xml:space="preserve">類型</t>
  </si>
  <si>
    <t xml:space="preserve">工事・業務名</t>
  </si>
  <si>
    <t xml:space="preserve">場所</t>
  </si>
  <si>
    <t xml:space="preserve">内容</t>
  </si>
  <si>
    <t xml:space="preserve">担当監督員</t>
  </si>
  <si>
    <t xml:space="preserve">受注者等</t>
  </si>
  <si>
    <t xml:space="preserve">想定される主な危険</t>
  </si>
  <si>
    <t xml:space="preserve">考えられる主な安全対策（詳細は類型別シート）</t>
  </si>
  <si>
    <t xml:space="preserve">当日の留意点</t>
  </si>
  <si>
    <r>
      <rPr>
        <b val="true"/>
        <sz val="10"/>
        <rFont val="WenQuanYi Zen Hei"/>
        <family val="2"/>
      </rPr>
      <t xml:space="preserve">令和</t>
    </r>
    <r>
      <rPr>
        <b val="true"/>
        <sz val="10"/>
        <rFont val="ＭＳ Ｐ明朝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ＭＳ Ｐ明朝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月</t>
    </r>
  </si>
  <si>
    <t xml:space="preserve">曇り</t>
  </si>
  <si>
    <t xml:space="preserve">AM10:00</t>
  </si>
  <si>
    <t xml:space="preserve">B</t>
  </si>
  <si>
    <r>
      <rPr>
        <sz val="9"/>
        <rFont val="WenQuanYi Zen Hei"/>
        <family val="2"/>
      </rPr>
      <t xml:space="preserve">管内一円</t>
    </r>
    <r>
      <rPr>
        <sz val="9"/>
        <rFont val="ＭＳ Ｐ明朝"/>
        <family val="0"/>
        <charset val="1"/>
      </rPr>
      <t xml:space="preserve">(</t>
    </r>
    <r>
      <rPr>
        <sz val="9"/>
        <rFont val="WenQuanYi Zen Hei"/>
        <family val="2"/>
      </rPr>
      <t xml:space="preserve">竹野川他</t>
    </r>
    <r>
      <rPr>
        <sz val="9"/>
        <rFont val="ＭＳ Ｐ明朝"/>
        <family val="0"/>
        <charset val="1"/>
      </rPr>
      <t xml:space="preserve">)</t>
    </r>
    <r>
      <rPr>
        <sz val="9"/>
        <rFont val="WenQuanYi Zen Hei"/>
        <family val="2"/>
      </rPr>
      <t xml:space="preserve">府民協働型インフラ保全工事</t>
    </r>
  </si>
  <si>
    <t xml:space="preserve">峰山・五箇 鱒留川</t>
  </si>
  <si>
    <t xml:space="preserve">現場進捗状況確認</t>
  </si>
  <si>
    <t xml:space="preserve">小林主査</t>
  </si>
  <si>
    <t xml:space="preserve">㈱修己建設</t>
  </si>
  <si>
    <t xml:space="preserve">重機・工事車両との接触、法面転落、増水</t>
  </si>
  <si>
    <t xml:space="preserve">現場代理人へ連絡し受注者の安全指示に従う／保護帽・安全靴・反射ベスト着用／重機旋回範囲に入らない／水位確認</t>
  </si>
  <si>
    <r>
      <rPr>
        <sz val="9"/>
        <rFont val="WenQuanYi Zen Hei"/>
        <family val="2"/>
      </rPr>
      <t xml:space="preserve">・夏季：熱中症対策（</t>
    </r>
    <r>
      <rPr>
        <sz val="9"/>
        <rFont val="ＭＳ Ｐ明朝"/>
        <family val="0"/>
        <charset val="1"/>
      </rPr>
      <t xml:space="preserve">WBGT</t>
    </r>
    <r>
      <rPr>
        <sz val="9"/>
        <rFont val="WenQuanYi Zen Hei"/>
        <family val="2"/>
      </rPr>
      <t xml:space="preserve">確認・水分塩分補給・休憩）</t>
    </r>
  </si>
  <si>
    <t xml:space="preserve">晴れ</t>
  </si>
  <si>
    <t xml:space="preserve">A</t>
  </si>
  <si>
    <r>
      <rPr>
        <sz val="9"/>
        <rFont val="WenQuanYi Zen Hei"/>
        <family val="2"/>
      </rPr>
      <t xml:space="preserve">久僧海岸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吉野川河口 定期観測</t>
    </r>
  </si>
  <si>
    <t xml:space="preserve">丹後町久僧（久僧海岸・吉野川河口）</t>
  </si>
  <si>
    <t xml:space="preserve">観測調査作業</t>
  </si>
  <si>
    <t xml:space="preserve">―</t>
  </si>
  <si>
    <t xml:space="preserve">水際転落・高波、転倒、熱中症</t>
  </si>
  <si>
    <r>
      <rPr>
        <sz val="9"/>
        <rFont val="WenQuanYi Zen Hei"/>
        <family val="2"/>
      </rPr>
      <t xml:space="preserve">気象・波浪・潮位を事前確認／波打ち際・消波ブロックに立ち入らない／水際ではライフジャケット着用／</t>
    </r>
    <r>
      <rPr>
        <sz val="9"/>
        <rFont val="ＭＳ Ｐ明朝"/>
        <family val="0"/>
        <charset val="1"/>
      </rPr>
      <t xml:space="preserve">2</t>
    </r>
    <r>
      <rPr>
        <sz val="9"/>
        <rFont val="WenQuanYi Zen Hei"/>
        <family val="2"/>
      </rPr>
      <t xml:space="preserve">人以上で行動</t>
    </r>
  </si>
  <si>
    <t xml:space="preserve">AM11:00</t>
  </si>
  <si>
    <t xml:space="preserve">D</t>
  </si>
  <si>
    <t xml:space="preserve">宇川 現況既設井堰調査</t>
  </si>
  <si>
    <t xml:space="preserve">丹後町鞍内 １箇所</t>
  </si>
  <si>
    <t xml:space="preserve">既設井堰の現況調査（１箇所）</t>
  </si>
  <si>
    <t xml:space="preserve">吉良係長</t>
  </si>
  <si>
    <t xml:space="preserve">堰体上での転倒・転落、増水、野生生物</t>
  </si>
  <si>
    <r>
      <rPr>
        <sz val="9"/>
        <rFont val="WenQuanYi Zen Hei"/>
        <family val="2"/>
      </rPr>
      <t xml:space="preserve">堰体上を歩かない／流水中は胴長・ライフジャケット着用／</t>
    </r>
    <r>
      <rPr>
        <sz val="9"/>
        <rFont val="ＭＳ Ｐ明朝"/>
        <family val="0"/>
        <charset val="1"/>
      </rPr>
      <t xml:space="preserve">2</t>
    </r>
    <r>
      <rPr>
        <sz val="9"/>
        <rFont val="WenQuanYi Zen Hei"/>
        <family val="2"/>
      </rPr>
      <t xml:space="preserve">人以上で行動／地元・水利関係者へ事前連絡／クマ鈴携帯</t>
    </r>
  </si>
  <si>
    <t xml:space="preserve">PM1:30</t>
  </si>
  <si>
    <t xml:space="preserve">弥栄町野中他 ３箇所</t>
  </si>
  <si>
    <t xml:space="preserve">既設井堰の現況調査（３箇所）</t>
  </si>
  <si>
    <r>
      <rPr>
        <sz val="9"/>
        <rFont val="WenQuanYi Zen Hei"/>
        <family val="2"/>
      </rPr>
      <t xml:space="preserve">雨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曇り</t>
    </r>
  </si>
  <si>
    <t xml:space="preserve">新樋越川河口 定期観測</t>
  </si>
  <si>
    <t xml:space="preserve">新樋越川河口</t>
  </si>
  <si>
    <r>
      <rPr>
        <sz val="9"/>
        <rFont val="WenQuanYi Zen Hei"/>
        <family val="2"/>
      </rPr>
      <t xml:space="preserve">・雨天：足元の滑り、河川・水路の増水に注意。観測・立会の実施可否を判断
・夏季：熱中症対策（</t>
    </r>
    <r>
      <rPr>
        <sz val="9"/>
        <rFont val="ＭＳ Ｐ明朝"/>
        <family val="0"/>
        <charset val="1"/>
      </rPr>
      <t xml:space="preserve">WBGT</t>
    </r>
    <r>
      <rPr>
        <sz val="9"/>
        <rFont val="WenQuanYi Zen Hei"/>
        <family val="2"/>
      </rPr>
      <t xml:space="preserve">確認・水分塩分補給・休憩）</t>
    </r>
  </si>
  <si>
    <r>
      <rPr>
        <sz val="9"/>
        <rFont val="WenQuanYi Zen Hei"/>
        <family val="2"/>
      </rPr>
      <t xml:space="preserve">曇り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晴れ</t>
    </r>
  </si>
  <si>
    <t xml:space="preserve">PM1:00</t>
  </si>
  <si>
    <t xml:space="preserve">管内一円（河梨川他）府民協働型インフラ保全工事</t>
  </si>
  <si>
    <t xml:space="preserve">久美浜・川上谷川</t>
  </si>
  <si>
    <t xml:space="preserve">現場状況確認</t>
  </si>
  <si>
    <t xml:space="preserve">倉垣副主査</t>
  </si>
  <si>
    <t xml:space="preserve">西田建設㈱</t>
  </si>
  <si>
    <t xml:space="preserve">PM2:00</t>
  </si>
  <si>
    <t xml:space="preserve">現場立会</t>
  </si>
  <si>
    <t xml:space="preserve">AM9:30</t>
  </si>
  <si>
    <t xml:space="preserve">大宮・三重 竹野川</t>
  </si>
  <si>
    <t xml:space="preserve">確認立会</t>
  </si>
  <si>
    <t xml:space="preserve">AM9:00</t>
  </si>
  <si>
    <t xml:space="preserve">AM10:30</t>
  </si>
  <si>
    <t xml:space="preserve">C</t>
  </si>
  <si>
    <t xml:space="preserve">大宮・河辺 残土仮置場</t>
  </si>
  <si>
    <t xml:space="preserve">ダンプ・重機との接触、盛土法面崩壊</t>
  </si>
  <si>
    <t xml:space="preserve">ダンプ動線と誘導員の指示に従う／盛土上・法肩に乗らない／保護帽・安全靴・反射ベスト着用</t>
  </si>
  <si>
    <t xml:space="preserve">大宮・善王寺 残土処理場</t>
  </si>
  <si>
    <t xml:space="preserve">木津川河口 定期観測</t>
  </si>
  <si>
    <t xml:space="preserve">網野町（木津川河口）</t>
  </si>
  <si>
    <t xml:space="preserve">宇川河口 定期観測</t>
  </si>
  <si>
    <t xml:space="preserve">丹後町上野（宇川河口）</t>
  </si>
  <si>
    <t xml:space="preserve">PM2:30</t>
  </si>
  <si>
    <r>
      <rPr>
        <sz val="9"/>
        <rFont val="WenQuanYi Zen Hei"/>
        <family val="2"/>
      </rPr>
      <t xml:space="preserve">管内一円</t>
    </r>
    <r>
      <rPr>
        <sz val="9"/>
        <rFont val="ＭＳ Ｐ明朝"/>
        <family val="0"/>
        <charset val="1"/>
      </rPr>
      <t xml:space="preserve">(</t>
    </r>
    <r>
      <rPr>
        <sz val="9"/>
        <rFont val="WenQuanYi Zen Hei"/>
        <family val="2"/>
      </rPr>
      <t xml:space="preserve">久住川他</t>
    </r>
    <r>
      <rPr>
        <sz val="9"/>
        <rFont val="ＭＳ Ｐ明朝"/>
        <family val="0"/>
        <charset val="1"/>
      </rPr>
      <t xml:space="preserve">)</t>
    </r>
    <r>
      <rPr>
        <sz val="9"/>
        <rFont val="WenQuanYi Zen Hei"/>
        <family val="2"/>
      </rPr>
      <t xml:space="preserve">府民協働型インフラ保全工事</t>
    </r>
  </si>
  <si>
    <t xml:space="preserve">竣工検査立会 池田検査官</t>
  </si>
  <si>
    <t xml:space="preserve">乾 技師</t>
  </si>
  <si>
    <t xml:space="preserve">㈱藤山工務店</t>
  </si>
  <si>
    <r>
      <rPr>
        <sz val="9"/>
        <rFont val="WenQuanYi Zen Hei"/>
        <family val="2"/>
      </rPr>
      <t xml:space="preserve">・夏季：熱中症対策（</t>
    </r>
    <r>
      <rPr>
        <sz val="9"/>
        <rFont val="ＭＳ Ｐ明朝"/>
        <family val="0"/>
        <charset val="1"/>
      </rPr>
      <t xml:space="preserve">WBGT</t>
    </r>
    <r>
      <rPr>
        <sz val="9"/>
        <rFont val="WenQuanYi Zen Hei"/>
        <family val="2"/>
      </rPr>
      <t xml:space="preserve">確認・水分塩分補給・休憩）
・検査官・監督員と同行。完成箇所の法面・護岸上の移動に注意</t>
    </r>
  </si>
  <si>
    <t xml:space="preserve">PM3:00</t>
  </si>
  <si>
    <t xml:space="preserve">網野町浜詰</t>
  </si>
  <si>
    <t xml:space="preserve">定期観測箇所の現況確認</t>
  </si>
  <si>
    <r>
      <rPr>
        <b val="true"/>
        <sz val="10"/>
        <rFont val="WenQuanYi Zen Hei"/>
        <family val="2"/>
      </rPr>
      <t xml:space="preserve">令和</t>
    </r>
    <r>
      <rPr>
        <b val="true"/>
        <sz val="10"/>
        <rFont val="ＭＳ Ｐ明朝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ＭＳ Ｐ明朝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月</t>
    </r>
  </si>
  <si>
    <t xml:space="preserve">AM11:30</t>
  </si>
  <si>
    <r>
      <rPr>
        <sz val="9"/>
        <rFont val="WenQuanYi Zen Hei"/>
        <family val="2"/>
      </rPr>
      <t xml:space="preserve">宇川河口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久僧海岸 定期観測</t>
    </r>
  </si>
  <si>
    <t xml:space="preserve">丹後町上野・久僧</t>
  </si>
  <si>
    <r>
      <rPr>
        <sz val="9"/>
        <rFont val="WenQuanYi Zen Hei"/>
        <family val="2"/>
      </rPr>
      <t xml:space="preserve">曇り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雨</t>
    </r>
  </si>
  <si>
    <t xml:space="preserve">PM11:30</t>
  </si>
  <si>
    <r>
      <rPr>
        <sz val="9"/>
        <rFont val="WenQuanYi Zen Hei"/>
        <family val="2"/>
      </rPr>
      <t xml:space="preserve">・雨天：足元の滑り、河川・水路の増水に注意。観測・立会の実施可否を判断
・夏季：熱中症対策（</t>
    </r>
    <r>
      <rPr>
        <sz val="9"/>
        <rFont val="ＭＳ Ｐ明朝"/>
        <family val="0"/>
        <charset val="1"/>
      </rPr>
      <t xml:space="preserve">WBGT</t>
    </r>
    <r>
      <rPr>
        <sz val="9"/>
        <rFont val="WenQuanYi Zen Hei"/>
        <family val="2"/>
      </rPr>
      <t xml:space="preserve">確認・水分塩分補給・休憩）
・※日報の開始時刻「</t>
    </r>
    <r>
      <rPr>
        <sz val="9"/>
        <rFont val="ＭＳ Ｐ明朝"/>
        <family val="0"/>
        <charset val="1"/>
      </rPr>
      <t xml:space="preserve">PM11:30</t>
    </r>
    <r>
      <rPr>
        <sz val="9"/>
        <rFont val="WenQuanYi Zen Hei"/>
        <family val="2"/>
      </rPr>
      <t xml:space="preserve">」は</t>
    </r>
    <r>
      <rPr>
        <sz val="9"/>
        <rFont val="ＭＳ Ｐ明朝"/>
        <family val="0"/>
        <charset val="1"/>
      </rPr>
      <t xml:space="preserve">AM11:30</t>
    </r>
    <r>
      <rPr>
        <sz val="9"/>
        <rFont val="WenQuanYi Zen Hei"/>
        <family val="2"/>
      </rPr>
      <t xml:space="preserve">の誤記と思われる</t>
    </r>
  </si>
  <si>
    <r>
      <rPr>
        <b val="true"/>
        <sz val="10"/>
        <rFont val="WenQuanYi Zen Hei"/>
        <family val="2"/>
      </rPr>
      <t xml:space="preserve">令和</t>
    </r>
    <r>
      <rPr>
        <b val="true"/>
        <sz val="10"/>
        <rFont val="ＭＳ Ｐ明朝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ＭＳ Ｐ明朝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</t>
    </r>
  </si>
  <si>
    <t xml:space="preserve">川上谷川緊急浚渫推進（河川）工事</t>
  </si>
  <si>
    <t xml:space="preserve">久美浜町金谷・畑地区</t>
  </si>
  <si>
    <t xml:space="preserve">小野澤建材㈱</t>
  </si>
  <si>
    <t xml:space="preserve">・雨天：足元の滑り、河川・水路の増水に注意。観測・立会の実施可否を判断</t>
  </si>
  <si>
    <r>
      <rPr>
        <sz val="9"/>
        <rFont val="WenQuanYi Zen Hei"/>
        <family val="2"/>
      </rPr>
      <t xml:space="preserve">晴れ</t>
    </r>
    <r>
      <rPr>
        <sz val="9"/>
        <rFont val="ＭＳ Ｐ明朝"/>
        <family val="0"/>
        <charset val="1"/>
      </rPr>
      <t xml:space="preserve">/</t>
    </r>
    <r>
      <rPr>
        <sz val="9"/>
        <rFont val="WenQuanYi Zen Hei"/>
        <family val="2"/>
      </rPr>
      <t xml:space="preserve">曇り</t>
    </r>
  </si>
  <si>
    <t xml:space="preserve">竹野川他府民協働型インフラ保全工事</t>
  </si>
  <si>
    <t xml:space="preserve">竣工検査立会</t>
  </si>
  <si>
    <t xml:space="preserve">E</t>
  </si>
  <si>
    <t xml:space="preserve">管内一円（成願寺川）緊急浚渫推進（砂防）工事</t>
  </si>
  <si>
    <t xml:space="preserve">現場調査</t>
  </si>
  <si>
    <t xml:space="preserve">サンキ工業㈱</t>
  </si>
  <si>
    <t xml:space="preserve">急斜面・落石、渓流での転倒、野生生物</t>
  </si>
  <si>
    <t xml:space="preserve">受注者と同行し経路を事前確認／保護帽着用・上下作業を避ける／クマ鈴携帯・単独行動禁止</t>
  </si>
  <si>
    <t xml:space="preserve">・雨天：足元の滑り、河川・水路の増水に注意。観測・立会の実施可否を判断
・検査官・監督員と同行。完成箇所の法面・護岸上の移動に注意</t>
  </si>
  <si>
    <t xml:space="preserve">現場確認業務の類型別 想定される危険と安全対策</t>
  </si>
  <si>
    <r>
      <rPr>
        <sz val="9"/>
        <rFont val="WenQuanYi Zen Hei"/>
        <family val="2"/>
      </rPr>
      <t xml:space="preserve">業務処理結果報告書（令和</t>
    </r>
    <r>
      <rPr>
        <sz val="9"/>
        <rFont val="ＭＳ Ｐ明朝"/>
        <family val="0"/>
        <charset val="1"/>
      </rPr>
      <t xml:space="preserve">8</t>
    </r>
    <r>
      <rPr>
        <sz val="9"/>
        <rFont val="WenQuanYi Zen Hei"/>
        <family val="2"/>
      </rPr>
      <t xml:space="preserve">年</t>
    </r>
    <r>
      <rPr>
        <sz val="9"/>
        <rFont val="ＭＳ Ｐ明朝"/>
        <family val="0"/>
        <charset val="1"/>
      </rPr>
      <t xml:space="preserve">7</t>
    </r>
    <r>
      <rPr>
        <sz val="9"/>
        <rFont val="WenQuanYi Zen Hei"/>
        <family val="2"/>
      </rPr>
      <t xml:space="preserve">～</t>
    </r>
    <r>
      <rPr>
        <sz val="9"/>
        <rFont val="ＭＳ Ｐ明朝"/>
        <family val="0"/>
        <charset val="1"/>
      </rPr>
      <t xml:space="preserve">9</t>
    </r>
    <r>
      <rPr>
        <sz val="9"/>
        <rFont val="WenQuanYi Zen Hei"/>
        <family val="2"/>
      </rPr>
      <t xml:space="preserve">月）の現場業務から類型を整理し、各類型で考えられる安全対策をまとめたもの（日報に記載された実施記録ではない）。</t>
    </r>
  </si>
  <si>
    <t xml:space="preserve">業務の種類</t>
  </si>
  <si>
    <t xml:space="preserve">考えられる安全対策</t>
  </si>
  <si>
    <t xml:space="preserve">河口・海岸の定期観測・現況確認</t>
  </si>
  <si>
    <t xml:space="preserve">・波浪、高潮、離岸流による水際での転落・流され
・砂浜、消波ブロック、岩場、濡れた護岸での転倒
・強風・落雷
・熱中症、単独作業時の急病</t>
  </si>
  <si>
    <r>
      <rPr>
        <sz val="10"/>
        <rFont val="WenQuanYi Zen Hei"/>
        <family val="2"/>
      </rPr>
      <t xml:space="preserve">・出発前に気象警報、波浪・潮位（潮汐表）、風速を確認し、高波・強風・雷のおそれがあれば中止・延期する
・波打ち際、消波ブロック上、濡れた護岸には立ち入らない（観測は安全な位置から行う）
・水際に近づく場合はライフジャケットを着用する
・滑りにくい靴を履き、両手が空く装備（ザック等）とする
・原則</t>
    </r>
    <r>
      <rPr>
        <sz val="10"/>
        <rFont val="ＭＳ Ｐ明朝"/>
        <family val="0"/>
        <charset val="1"/>
      </rPr>
      <t xml:space="preserve">2</t>
    </r>
    <r>
      <rPr>
        <sz val="10"/>
        <rFont val="WenQuanYi Zen Hei"/>
        <family val="2"/>
      </rPr>
      <t xml:space="preserve">人以上で行動し、行先・帰着予定を事務所に連絡する
・退避経路と車両の駐車位置（波・浸水の届かない場所）を事前に確認する</t>
    </r>
  </si>
  <si>
    <t xml:space="preserve">河川工事現場の立会・進捗確認・竣工検査（現場）</t>
  </si>
  <si>
    <t xml:space="preserve">・稼働中の重機（バックホウ旋回範囲）、ダンプ等の工事車両との接触
・法面、護岸、仮設通路での転倒・転落
・河川内作業区域での急な増水
・熱中症</t>
  </si>
  <si>
    <r>
      <rPr>
        <sz val="10"/>
        <rFont val="WenQuanYi Zen Hei"/>
        <family val="2"/>
      </rPr>
      <t xml:space="preserve">・現場到着時に現場代理人へ連絡し、受注者の安全指示・誘導に従う（新規入場時は受注者の安全教育・</t>
    </r>
    <r>
      <rPr>
        <sz val="10"/>
        <rFont val="ＭＳ Ｐ明朝"/>
        <family val="0"/>
        <charset val="1"/>
      </rPr>
      <t xml:space="preserve">KY</t>
    </r>
    <r>
      <rPr>
        <sz val="10"/>
        <rFont val="WenQuanYi Zen Hei"/>
        <family val="2"/>
      </rPr>
      <t xml:space="preserve">活動に参加）
・保護帽、安全靴、反射ベストを着用する
・重機の旋回範囲、ダンプの走行経路に立ち入らない。近づく必要があるときはオペレーター・誘導員に合図して作業を止めてもらう
・法肩、水際、仮締切の上には不用意に近づかない
・上流の降雨・河川水位を確認し、増水のおそれがあれば河川内に立ち入らない
・身分証明書を携帯する（特記仕様書「現場への立入り等」）</t>
    </r>
  </si>
  <si>
    <t xml:space="preserve">残土仮置場・残土処理場の確認立会</t>
  </si>
  <si>
    <t xml:space="preserve">・ダンプの出入り、重機の敷均し作業との接触
・盛土法面の崩壊、軟弱な盛土上での足元の不安定
・粉じん</t>
  </si>
  <si>
    <t xml:space="preserve">・出入口でダンプの動線と誘導員の配置を確認し、指示に従う
・盛土の上や法肩に乗らず、締固めの済んだ箇所から確認する
・保護帽、安全靴、反射ベストを着用する
・敷地内では車両を指定の場所に停め、徒歩移動は重機の死角を避ける</t>
  </si>
  <si>
    <t xml:space="preserve">既設井堰の現況調査（宇川）</t>
  </si>
  <si>
    <t xml:space="preserve">・堰体上や堰直下での転倒・転落、苔による滑り
・流水中の歩行、急な増水
・ハチ、ヘビ、ツキノワグマ等の野生生物
・水田・水路の私有地への立入り</t>
  </si>
  <si>
    <r>
      <rPr>
        <sz val="10"/>
        <rFont val="WenQuanYi Zen Hei"/>
        <family val="2"/>
      </rPr>
      <t xml:space="preserve">・堰体の上を歩かない。流水中に入る場合は胴長・ライフジャケットを着用し、水深・流速を確認する
・</t>
    </r>
    <r>
      <rPr>
        <sz val="10"/>
        <rFont val="ＭＳ Ｐ明朝"/>
        <family val="0"/>
        <charset val="1"/>
      </rPr>
      <t xml:space="preserve">2</t>
    </r>
    <r>
      <rPr>
        <sz val="10"/>
        <rFont val="WenQuanYi Zen Hei"/>
        <family val="2"/>
      </rPr>
      <t xml:space="preserve">人以上で行動し、</t>
    </r>
    <r>
      <rPr>
        <sz val="10"/>
        <rFont val="ＭＳ Ｐ明朝"/>
        <family val="0"/>
        <charset val="1"/>
      </rPr>
      <t xml:space="preserve">1</t>
    </r>
    <r>
      <rPr>
        <sz val="10"/>
        <rFont val="WenQuanYi Zen Hei"/>
        <family val="2"/>
      </rPr>
      <t xml:space="preserve">人は岸から見守る
・事前に地元・水利関係者へ調査日時を連絡し、私有地は了解を得てから立ち入る
・クマ鈴を携帯し、ハチの巣に注意する。長袖・長ズボン・手袋を着用する
・前日・当日の降雨と河川水位を確認する</t>
    </r>
  </si>
  <si>
    <t xml:space="preserve">砂防工事の現場調査（渓流部）</t>
  </si>
  <si>
    <t xml:space="preserve">・急斜面、転石、落石
・渓流での転倒・増水
・ツキノワグマ、ハチ等の野生生物</t>
  </si>
  <si>
    <t xml:space="preserve">・受注者と同行し、調査範囲・経路を事前に打ち合わせる
・保護帽を着用し、斜面の下側に人がいるときは上で行動しない
・クマ鈴を携帯し、単独行動をしない
・降雨後・降雨中は渓流内に立ち入らない</t>
  </si>
  <si>
    <t xml:space="preserve">共通</t>
  </si>
  <si>
    <t xml:space="preserve">全現場共通</t>
  </si>
  <si>
    <r>
      <rPr>
        <sz val="10"/>
        <rFont val="WenQuanYi Zen Hei"/>
        <family val="2"/>
      </rPr>
      <t xml:space="preserve">・車両での移動中の交通事故
・路肩駐車時の後続車との接触
・熱中症（</t>
    </r>
    <r>
      <rPr>
        <sz val="10"/>
        <rFont val="ＭＳ Ｐ明朝"/>
        <family val="0"/>
        <charset val="1"/>
      </rPr>
      <t xml:space="preserve">7</t>
    </r>
    <r>
      <rPr>
        <sz val="10"/>
        <rFont val="WenQuanYi Zen Hei"/>
        <family val="2"/>
      </rPr>
      <t xml:space="preserve">～</t>
    </r>
    <r>
      <rPr>
        <sz val="10"/>
        <rFont val="ＭＳ Ｐ明朝"/>
        <family val="0"/>
        <charset val="1"/>
      </rPr>
      <t xml:space="preserve">9</t>
    </r>
    <r>
      <rPr>
        <sz val="10"/>
        <rFont val="WenQuanYi Zen Hei"/>
        <family val="2"/>
      </rPr>
      <t xml:space="preserve">月）
・雨天時のスリップ、落雷</t>
    </r>
  </si>
  <si>
    <r>
      <rPr>
        <sz val="10"/>
        <rFont val="WenQuanYi Zen Hei"/>
        <family val="2"/>
      </rPr>
      <t xml:space="preserve">・行先・同行者・帰着予定を事務所の行動予定に記入し、携帯電話で連絡が取れるようにする
・路肩に駐車する場合はハザードランプ・三角表示板を使用し、車道側に出ない
・</t>
    </r>
    <r>
      <rPr>
        <sz val="10"/>
        <rFont val="ＭＳ Ｐ明朝"/>
        <family val="0"/>
        <charset val="1"/>
      </rPr>
      <t xml:space="preserve">WBGT</t>
    </r>
    <r>
      <rPr>
        <sz val="10"/>
        <rFont val="WenQuanYi Zen Hei"/>
        <family val="2"/>
      </rPr>
      <t xml:space="preserve">（暑さ指数）を確認し、水分・塩分を補給し、こまめに休憩する。体調不良時は作業を中止する
・雷鳴が聞こえたら直ちに車内等へ退避する
・保護帽、安全靴を常備し、身分証明書を携帯する</t>
    </r>
  </si>
  <si>
    <r>
      <rPr>
        <b val="true"/>
        <sz val="14"/>
        <rFont val="WenQuanYi Zen Hei"/>
        <family val="2"/>
      </rPr>
      <t xml:space="preserve">月別 現場確認の実施状況（令和</t>
    </r>
    <r>
      <rPr>
        <b val="true"/>
        <sz val="14"/>
        <rFont val="ＭＳ Ｐ明朝"/>
        <family val="0"/>
        <charset val="1"/>
      </rPr>
      <t xml:space="preserve">8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ＭＳ Ｐ明朝"/>
        <family val="0"/>
        <charset val="1"/>
      </rPr>
      <t xml:space="preserve">7</t>
    </r>
    <r>
      <rPr>
        <b val="true"/>
        <sz val="14"/>
        <rFont val="WenQuanYi Zen Hei"/>
        <family val="2"/>
      </rPr>
      <t xml:space="preserve">月～</t>
    </r>
    <r>
      <rPr>
        <b val="true"/>
        <sz val="14"/>
        <rFont val="ＭＳ Ｐ明朝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</t>
    </r>
  </si>
  <si>
    <t xml:space="preserve">月</t>
  </si>
  <si>
    <t xml:space="preserve">履行日数</t>
  </si>
  <si>
    <t xml:space="preserve">現場確認日数</t>
  </si>
  <si>
    <t xml:space="preserve">現場確認の割合</t>
  </si>
  <si>
    <t xml:space="preserve">現場確認件数</t>
  </si>
  <si>
    <r>
      <rPr>
        <b val="true"/>
        <sz val="10"/>
        <rFont val="WenQuanYi Zen Hei"/>
        <family val="2"/>
      </rPr>
      <t xml:space="preserve">類型</t>
    </r>
    <r>
      <rPr>
        <b val="true"/>
        <sz val="10"/>
        <rFont val="ＭＳ Ｐ明朝"/>
        <family val="0"/>
        <charset val="1"/>
      </rPr>
      <t xml:space="preserve">A</t>
    </r>
  </si>
  <si>
    <r>
      <rPr>
        <b val="true"/>
        <sz val="10"/>
        <rFont val="WenQuanYi Zen Hei"/>
        <family val="2"/>
      </rPr>
      <t xml:space="preserve">類型</t>
    </r>
    <r>
      <rPr>
        <b val="true"/>
        <sz val="10"/>
        <rFont val="ＭＳ Ｐ明朝"/>
        <family val="0"/>
        <charset val="1"/>
      </rPr>
      <t xml:space="preserve">B</t>
    </r>
  </si>
  <si>
    <r>
      <rPr>
        <b val="true"/>
        <sz val="10"/>
        <rFont val="WenQuanYi Zen Hei"/>
        <family val="2"/>
      </rPr>
      <t xml:space="preserve">類型</t>
    </r>
    <r>
      <rPr>
        <b val="true"/>
        <sz val="10"/>
        <rFont val="ＭＳ Ｐ明朝"/>
        <family val="0"/>
        <charset val="1"/>
      </rPr>
      <t xml:space="preserve">C</t>
    </r>
  </si>
  <si>
    <r>
      <rPr>
        <b val="true"/>
        <sz val="10"/>
        <rFont val="WenQuanYi Zen Hei"/>
        <family val="2"/>
      </rPr>
      <t xml:space="preserve">類型</t>
    </r>
    <r>
      <rPr>
        <b val="true"/>
        <sz val="10"/>
        <rFont val="ＭＳ Ｐ明朝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</si>
  <si>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類型</t>
    </r>
    <r>
      <rPr>
        <b val="true"/>
        <sz val="10"/>
        <rFont val="ＭＳ Ｐ明朝"/>
        <family val="0"/>
        <charset val="1"/>
      </rPr>
      <t xml:space="preserve">E</t>
    </r>
  </si>
  <si>
    <r>
      <rPr>
        <sz val="10"/>
        <color rgb="FF000000"/>
        <rFont val="ＭＳ Ｐ明朝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</si>
  <si>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ＭＳ Ｐ明朝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</si>
  <si>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ＭＳ Ｐ明朝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</t>
    </r>
  </si>
  <si>
    <t xml:space="preserve">合計</t>
  </si>
  <si>
    <r>
      <rPr>
        <sz val="9"/>
        <rFont val="WenQuanYi Zen Hei"/>
        <family val="2"/>
      </rPr>
      <t xml:space="preserve">※ 履行日数（青字）は業務処理結果報告書の枚数（</t>
    </r>
    <r>
      <rPr>
        <sz val="9"/>
        <rFont val="ＭＳ Ｐ明朝"/>
        <family val="0"/>
        <charset val="1"/>
      </rPr>
      <t xml:space="preserve">7</t>
    </r>
    <r>
      <rPr>
        <sz val="9"/>
        <rFont val="WenQuanYi Zen Hei"/>
        <family val="2"/>
      </rPr>
      <t xml:space="preserve">月</t>
    </r>
    <r>
      <rPr>
        <sz val="9"/>
        <rFont val="ＭＳ Ｐ明朝"/>
        <family val="0"/>
        <charset val="1"/>
      </rPr>
      <t xml:space="preserve">22</t>
    </r>
    <r>
      <rPr>
        <sz val="9"/>
        <rFont val="WenQuanYi Zen Hei"/>
        <family val="2"/>
      </rPr>
      <t xml:space="preserve">日、</t>
    </r>
    <r>
      <rPr>
        <sz val="9"/>
        <rFont val="ＭＳ Ｐ明朝"/>
        <family val="0"/>
        <charset val="1"/>
      </rPr>
      <t xml:space="preserve">8</t>
    </r>
    <r>
      <rPr>
        <sz val="9"/>
        <rFont val="WenQuanYi Zen Hei"/>
        <family val="2"/>
      </rPr>
      <t xml:space="preserve">月</t>
    </r>
    <r>
      <rPr>
        <sz val="9"/>
        <rFont val="ＭＳ Ｐ明朝"/>
        <family val="0"/>
        <charset val="1"/>
      </rPr>
      <t xml:space="preserve">20</t>
    </r>
    <r>
      <rPr>
        <sz val="9"/>
        <rFont val="WenQuanYi Zen Hei"/>
        <family val="2"/>
      </rPr>
      <t xml:space="preserve">日、</t>
    </r>
    <r>
      <rPr>
        <sz val="9"/>
        <rFont val="ＭＳ Ｐ明朝"/>
        <family val="0"/>
        <charset val="1"/>
      </rPr>
      <t xml:space="preserve">9</t>
    </r>
    <r>
      <rPr>
        <sz val="9"/>
        <rFont val="WenQuanYi Zen Hei"/>
        <family val="2"/>
      </rPr>
      <t xml:space="preserve">月</t>
    </r>
    <r>
      <rPr>
        <sz val="9"/>
        <rFont val="ＭＳ Ｐ明朝"/>
        <family val="0"/>
        <charset val="1"/>
      </rPr>
      <t xml:space="preserve">19</t>
    </r>
    <r>
      <rPr>
        <sz val="9"/>
        <rFont val="WenQuanYi Zen Hei"/>
        <family val="2"/>
      </rPr>
      <t xml:space="preserve">日）。</t>
    </r>
  </si>
  <si>
    <t xml:space="preserve">※ 現場確認日数は「現場確認日一覧」の実施日の重複を除いた日数。件数は一覧の行数。</t>
  </si>
  <si>
    <r>
      <rPr>
        <sz val="9"/>
        <rFont val="WenQuanYi Zen Hei"/>
        <family val="2"/>
      </rPr>
      <t xml:space="preserve">※ 類型</t>
    </r>
    <r>
      <rPr>
        <sz val="9"/>
        <rFont val="ＭＳ Ｐ明朝"/>
        <family val="0"/>
        <charset val="1"/>
      </rPr>
      <t xml:space="preserve">A</t>
    </r>
    <r>
      <rPr>
        <sz val="9"/>
        <rFont val="WenQuanYi Zen Hei"/>
        <family val="2"/>
      </rPr>
      <t xml:space="preserve">：河口・海岸の定期観測・現況確認</t>
    </r>
  </si>
  <si>
    <r>
      <rPr>
        <sz val="9"/>
        <rFont val="WenQuanYi Zen Hei"/>
        <family val="2"/>
      </rPr>
      <t xml:space="preserve">※ 類型</t>
    </r>
    <r>
      <rPr>
        <sz val="9"/>
        <rFont val="ＭＳ Ｐ明朝"/>
        <family val="0"/>
        <charset val="1"/>
      </rPr>
      <t xml:space="preserve">B</t>
    </r>
    <r>
      <rPr>
        <sz val="9"/>
        <rFont val="WenQuanYi Zen Hei"/>
        <family val="2"/>
      </rPr>
      <t xml:space="preserve">：河川工事現場の立会・進捗確認・竣工検査（現場）</t>
    </r>
  </si>
  <si>
    <r>
      <rPr>
        <sz val="9"/>
        <rFont val="WenQuanYi Zen Hei"/>
        <family val="2"/>
      </rPr>
      <t xml:space="preserve">※ 類型</t>
    </r>
    <r>
      <rPr>
        <sz val="9"/>
        <rFont val="ＭＳ Ｐ明朝"/>
        <family val="0"/>
        <charset val="1"/>
      </rPr>
      <t xml:space="preserve">C</t>
    </r>
    <r>
      <rPr>
        <sz val="9"/>
        <rFont val="WenQuanYi Zen Hei"/>
        <family val="2"/>
      </rPr>
      <t xml:space="preserve">：残土仮置場・残土処理場の確認立会</t>
    </r>
  </si>
  <si>
    <r>
      <rPr>
        <sz val="9"/>
        <rFont val="WenQuanYi Zen Hei"/>
        <family val="2"/>
      </rPr>
      <t xml:space="preserve">※ 類型</t>
    </r>
    <r>
      <rPr>
        <sz val="9"/>
        <rFont val="ＭＳ Ｐ明朝"/>
        <family val="0"/>
        <charset val="1"/>
      </rPr>
      <t xml:space="preserve">D</t>
    </r>
    <r>
      <rPr>
        <sz val="9"/>
        <rFont val="WenQuanYi Zen Hei"/>
        <family val="2"/>
      </rPr>
      <t xml:space="preserve">：既設井堰の現況調査（宇川）</t>
    </r>
  </si>
  <si>
    <r>
      <rPr>
        <sz val="9"/>
        <rFont val="WenQuanYi Zen Hei"/>
        <family val="2"/>
      </rPr>
      <t xml:space="preserve">※ 類型</t>
    </r>
    <r>
      <rPr>
        <sz val="9"/>
        <rFont val="ＭＳ Ｐ明朝"/>
        <family val="0"/>
        <charset val="1"/>
      </rPr>
      <t xml:space="preserve">E</t>
    </r>
    <r>
      <rPr>
        <sz val="9"/>
        <rFont val="WenQuanYi Zen Hei"/>
        <family val="2"/>
      </rPr>
      <t xml:space="preserve">：砂防工事の現場調査（渓流部）</t>
    </r>
  </si>
  <si>
    <t xml:space="preserve">参考：現地で実施した可能性があるが、日報からは判断できない業務（一覧・集計には含めていない）</t>
  </si>
  <si>
    <t xml:space="preserve">除外理由</t>
  </si>
  <si>
    <t xml:space="preserve">工事完成下検査（主任監督員）</t>
  </si>
  <si>
    <t xml:space="preserve">浅茂川海岸なぎさ緊急保全工事</t>
  </si>
  <si>
    <t xml:space="preserve">工事完成下検査は書面中心と考えられるが、現地確認を含む可能性がある</t>
  </si>
  <si>
    <t xml:space="preserve">工事着手前打合せ</t>
  </si>
  <si>
    <t xml:space="preserve">打合せ場所の記載がない</t>
  </si>
  <si>
    <t xml:space="preserve">竹野川他府民協働インフラ工事</t>
  </si>
  <si>
    <t xml:space="preserve">AM8:30</t>
  </si>
  <si>
    <t xml:space="preserve">竹野川（小西川）広域河川改修（補正・防災安全）工事</t>
  </si>
  <si>
    <t xml:space="preserve">工事初回打合せ</t>
  </si>
  <si>
    <t xml:space="preserve">㈱丸正組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</si>
</sst>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\月d\日"/>
    <numFmt numFmtId="166" formatCode="\№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ＭＳ Ｐ明朝"/>
      <family val="0"/>
      <charset val="1"/>
    </font>
    <font>
      <sz val="9"/>
      <name val="WenQuanYi Zen Hei"/>
      <family val="2"/>
    </font>
    <font>
      <sz val="9"/>
      <name val="ＭＳ Ｐ明朝"/>
      <family val="0"/>
      <charset val="1"/>
    </font>
    <font>
      <b val="true"/>
      <sz val="10"/>
      <name val="ＭＳ Ｐ明朝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ＭＳ Ｐ明朝"/>
      <family val="0"/>
      <charset val="1"/>
    </font>
    <font>
      <sz val="10"/>
      <color rgb="FF000000"/>
      <name val="ＭＳ Ｐ明朝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ＭＳ Ｐ明朝"/>
      <family val="0"/>
      <charset val="1"/>
    </font>
    <font>
      <b val="true"/>
      <sz val="12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5"/>
    <col collapsed="false" customWidth="true" hidden="false" outlineLevel="0" max="8" min="8" style="0" width="28"/>
    <col collapsed="false" customWidth="true" hidden="false" outlineLevel="0" max="10" min="9" style="0" width="18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4"/>
    <col collapsed="false" customWidth="true" hidden="false" outlineLevel="0" max="14" min="14" style="0" width="50"/>
    <col collapsed="false" customWidth="true" hidden="false" outlineLevel="0" max="15" min="15" style="0" width="3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4.15" hidden="false" customHeight="false" outlineLevel="0" collapsed="false">
      <c r="A5" s="5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48" hidden="false" customHeight="true" outlineLevel="0" collapsed="false">
      <c r="A6" s="6" t="n">
        <v>1</v>
      </c>
      <c r="B6" s="7" t="n">
        <v>46204</v>
      </c>
      <c r="C6" s="6" t="str">
        <f aca="false">MID("日月火水木金土",WEEKDAY(B6),1)</f>
        <v>水</v>
      </c>
      <c r="D6" s="8" t="s">
        <v>18</v>
      </c>
      <c r="E6" s="9" t="n">
        <v>62</v>
      </c>
      <c r="F6" s="6" t="s">
        <v>19</v>
      </c>
      <c r="G6" s="6" t="s">
        <v>20</v>
      </c>
      <c r="H6" s="10" t="s">
        <v>21</v>
      </c>
      <c r="I6" s="10" t="s">
        <v>22</v>
      </c>
      <c r="J6" s="10" t="s">
        <v>23</v>
      </c>
      <c r="K6" s="8" t="s">
        <v>24</v>
      </c>
      <c r="L6" s="10" t="s">
        <v>25</v>
      </c>
      <c r="M6" s="10" t="s">
        <v>26</v>
      </c>
      <c r="N6" s="10" t="s">
        <v>27</v>
      </c>
      <c r="O6" s="10" t="s">
        <v>28</v>
      </c>
    </row>
    <row r="7" customFormat="false" ht="48" hidden="false" customHeight="true" outlineLevel="0" collapsed="false">
      <c r="A7" s="8" t="n">
        <v>2</v>
      </c>
      <c r="B7" s="7" t="n">
        <v>46206</v>
      </c>
      <c r="C7" s="8" t="str">
        <f aca="false">MID("日月火水木金土",WEEKDAY(B7),1)</f>
        <v>金</v>
      </c>
      <c r="D7" s="8" t="s">
        <v>29</v>
      </c>
      <c r="E7" s="9" t="n">
        <v>64</v>
      </c>
      <c r="F7" s="6" t="s">
        <v>19</v>
      </c>
      <c r="G7" s="6" t="s">
        <v>30</v>
      </c>
      <c r="H7" s="10" t="s">
        <v>31</v>
      </c>
      <c r="I7" s="10" t="s">
        <v>32</v>
      </c>
      <c r="J7" s="10" t="s">
        <v>33</v>
      </c>
      <c r="K7" s="8" t="s">
        <v>24</v>
      </c>
      <c r="L7" s="11" t="s">
        <v>34</v>
      </c>
      <c r="M7" s="10" t="s">
        <v>35</v>
      </c>
      <c r="N7" s="10" t="s">
        <v>36</v>
      </c>
      <c r="O7" s="10" t="s">
        <v>28</v>
      </c>
    </row>
    <row r="8" customFormat="false" ht="48" hidden="false" customHeight="true" outlineLevel="0" collapsed="false">
      <c r="A8" s="8" t="n">
        <v>3</v>
      </c>
      <c r="B8" s="7" t="n">
        <v>46206</v>
      </c>
      <c r="C8" s="8" t="str">
        <f aca="false">MID("日月火水木金土",WEEKDAY(B8),1)</f>
        <v>金</v>
      </c>
      <c r="D8" s="8" t="s">
        <v>29</v>
      </c>
      <c r="E8" s="9" t="n">
        <v>64</v>
      </c>
      <c r="F8" s="6" t="s">
        <v>37</v>
      </c>
      <c r="G8" s="6" t="s">
        <v>38</v>
      </c>
      <c r="H8" s="10" t="s">
        <v>39</v>
      </c>
      <c r="I8" s="10" t="s">
        <v>40</v>
      </c>
      <c r="J8" s="10" t="s">
        <v>41</v>
      </c>
      <c r="K8" s="8" t="s">
        <v>42</v>
      </c>
      <c r="L8" s="11" t="s">
        <v>34</v>
      </c>
      <c r="M8" s="10" t="s">
        <v>43</v>
      </c>
      <c r="N8" s="10" t="s">
        <v>44</v>
      </c>
      <c r="O8" s="10" t="s">
        <v>28</v>
      </c>
    </row>
    <row r="9" customFormat="false" ht="48" hidden="false" customHeight="true" outlineLevel="0" collapsed="false">
      <c r="A9" s="8" t="n">
        <v>4</v>
      </c>
      <c r="B9" s="7" t="n">
        <v>46206</v>
      </c>
      <c r="C9" s="8" t="str">
        <f aca="false">MID("日月火水木金土",WEEKDAY(B9),1)</f>
        <v>金</v>
      </c>
      <c r="D9" s="8" t="s">
        <v>29</v>
      </c>
      <c r="E9" s="9" t="n">
        <v>64</v>
      </c>
      <c r="F9" s="6" t="s">
        <v>45</v>
      </c>
      <c r="G9" s="6" t="s">
        <v>38</v>
      </c>
      <c r="H9" s="10" t="s">
        <v>39</v>
      </c>
      <c r="I9" s="10" t="s">
        <v>46</v>
      </c>
      <c r="J9" s="10" t="s">
        <v>47</v>
      </c>
      <c r="K9" s="8" t="s">
        <v>42</v>
      </c>
      <c r="L9" s="11" t="s">
        <v>34</v>
      </c>
      <c r="M9" s="10" t="s">
        <v>43</v>
      </c>
      <c r="N9" s="10" t="s">
        <v>44</v>
      </c>
      <c r="O9" s="10" t="s">
        <v>28</v>
      </c>
    </row>
    <row r="10" customFormat="false" ht="48" hidden="false" customHeight="true" outlineLevel="0" collapsed="false">
      <c r="A10" s="8" t="n">
        <v>5</v>
      </c>
      <c r="B10" s="7" t="n">
        <v>46209</v>
      </c>
      <c r="C10" s="8" t="str">
        <f aca="false">MID("日月火水木金土",WEEKDAY(B10),1)</f>
        <v>月</v>
      </c>
      <c r="D10" s="8" t="s">
        <v>48</v>
      </c>
      <c r="E10" s="9" t="n">
        <v>65</v>
      </c>
      <c r="F10" s="6" t="s">
        <v>45</v>
      </c>
      <c r="G10" s="6" t="s">
        <v>30</v>
      </c>
      <c r="H10" s="10" t="s">
        <v>49</v>
      </c>
      <c r="I10" s="10" t="s">
        <v>50</v>
      </c>
      <c r="J10" s="10" t="s">
        <v>33</v>
      </c>
      <c r="K10" s="8" t="s">
        <v>24</v>
      </c>
      <c r="L10" s="11" t="s">
        <v>34</v>
      </c>
      <c r="M10" s="10" t="s">
        <v>35</v>
      </c>
      <c r="N10" s="10" t="s">
        <v>36</v>
      </c>
      <c r="O10" s="10" t="s">
        <v>51</v>
      </c>
    </row>
    <row r="11" customFormat="false" ht="48" hidden="false" customHeight="true" outlineLevel="0" collapsed="false">
      <c r="A11" s="8" t="n">
        <v>6</v>
      </c>
      <c r="B11" s="7" t="n">
        <v>46210</v>
      </c>
      <c r="C11" s="8" t="str">
        <f aca="false">MID("日月火水木金土",WEEKDAY(B11),1)</f>
        <v>火</v>
      </c>
      <c r="D11" s="8" t="s">
        <v>52</v>
      </c>
      <c r="E11" s="9" t="n">
        <v>66</v>
      </c>
      <c r="F11" s="6" t="s">
        <v>53</v>
      </c>
      <c r="G11" s="6" t="s">
        <v>20</v>
      </c>
      <c r="H11" s="10" t="s">
        <v>54</v>
      </c>
      <c r="I11" s="10" t="s">
        <v>55</v>
      </c>
      <c r="J11" s="10" t="s">
        <v>56</v>
      </c>
      <c r="K11" s="8" t="s">
        <v>57</v>
      </c>
      <c r="L11" s="10" t="s">
        <v>58</v>
      </c>
      <c r="M11" s="10" t="s">
        <v>26</v>
      </c>
      <c r="N11" s="10" t="s">
        <v>27</v>
      </c>
      <c r="O11" s="10" t="s">
        <v>28</v>
      </c>
    </row>
    <row r="12" customFormat="false" ht="48" hidden="false" customHeight="true" outlineLevel="0" collapsed="false">
      <c r="A12" s="8" t="n">
        <v>7</v>
      </c>
      <c r="B12" s="7" t="n">
        <v>46210</v>
      </c>
      <c r="C12" s="8" t="str">
        <f aca="false">MID("日月火水木金土",WEEKDAY(B12),1)</f>
        <v>火</v>
      </c>
      <c r="D12" s="8" t="s">
        <v>52</v>
      </c>
      <c r="E12" s="9" t="n">
        <v>66</v>
      </c>
      <c r="F12" s="6" t="s">
        <v>59</v>
      </c>
      <c r="G12" s="6" t="s">
        <v>20</v>
      </c>
      <c r="H12" s="10" t="s">
        <v>54</v>
      </c>
      <c r="I12" s="10" t="s">
        <v>55</v>
      </c>
      <c r="J12" s="10" t="s">
        <v>60</v>
      </c>
      <c r="K12" s="8" t="s">
        <v>57</v>
      </c>
      <c r="L12" s="10" t="s">
        <v>58</v>
      </c>
      <c r="M12" s="10" t="s">
        <v>26</v>
      </c>
      <c r="N12" s="10" t="s">
        <v>27</v>
      </c>
      <c r="O12" s="10" t="s">
        <v>28</v>
      </c>
    </row>
    <row r="13" customFormat="false" ht="48" hidden="false" customHeight="true" outlineLevel="0" collapsed="false">
      <c r="A13" s="8" t="n">
        <v>8</v>
      </c>
      <c r="B13" s="7" t="n">
        <v>46211</v>
      </c>
      <c r="C13" s="8" t="str">
        <f aca="false">MID("日月火水木金土",WEEKDAY(B13),1)</f>
        <v>水</v>
      </c>
      <c r="D13" s="8" t="s">
        <v>29</v>
      </c>
      <c r="E13" s="9" t="n">
        <v>67</v>
      </c>
      <c r="F13" s="6" t="s">
        <v>61</v>
      </c>
      <c r="G13" s="6" t="s">
        <v>20</v>
      </c>
      <c r="H13" s="10" t="s">
        <v>21</v>
      </c>
      <c r="I13" s="10" t="s">
        <v>62</v>
      </c>
      <c r="J13" s="10" t="s">
        <v>63</v>
      </c>
      <c r="K13" s="8" t="s">
        <v>24</v>
      </c>
      <c r="L13" s="10" t="s">
        <v>25</v>
      </c>
      <c r="M13" s="10" t="s">
        <v>26</v>
      </c>
      <c r="N13" s="10" t="s">
        <v>27</v>
      </c>
      <c r="O13" s="10" t="s">
        <v>28</v>
      </c>
    </row>
    <row r="14" customFormat="false" ht="48" hidden="false" customHeight="true" outlineLevel="0" collapsed="false">
      <c r="A14" s="8" t="n">
        <v>9</v>
      </c>
      <c r="B14" s="7" t="n">
        <v>46211</v>
      </c>
      <c r="C14" s="8" t="str">
        <f aca="false">MID("日月火水木金土",WEEKDAY(B14),1)</f>
        <v>水</v>
      </c>
      <c r="D14" s="8" t="s">
        <v>29</v>
      </c>
      <c r="E14" s="9" t="n">
        <v>67</v>
      </c>
      <c r="F14" s="6" t="s">
        <v>37</v>
      </c>
      <c r="G14" s="6" t="s">
        <v>20</v>
      </c>
      <c r="H14" s="10" t="s">
        <v>21</v>
      </c>
      <c r="I14" s="10" t="s">
        <v>22</v>
      </c>
      <c r="J14" s="10" t="s">
        <v>63</v>
      </c>
      <c r="K14" s="8" t="s">
        <v>24</v>
      </c>
      <c r="L14" s="10" t="s">
        <v>25</v>
      </c>
      <c r="M14" s="10" t="s">
        <v>26</v>
      </c>
      <c r="N14" s="10" t="s">
        <v>27</v>
      </c>
      <c r="O14" s="10" t="s">
        <v>28</v>
      </c>
    </row>
    <row r="15" customFormat="false" ht="48" hidden="false" customHeight="true" outlineLevel="0" collapsed="false">
      <c r="A15" s="8" t="n">
        <v>10</v>
      </c>
      <c r="B15" s="7" t="n">
        <v>46213</v>
      </c>
      <c r="C15" s="8" t="str">
        <f aca="false">MID("日月火水木金土",WEEKDAY(B15),1)</f>
        <v>金</v>
      </c>
      <c r="D15" s="8" t="s">
        <v>29</v>
      </c>
      <c r="E15" s="9" t="n">
        <v>69</v>
      </c>
      <c r="F15" s="6" t="s">
        <v>37</v>
      </c>
      <c r="G15" s="6" t="s">
        <v>38</v>
      </c>
      <c r="H15" s="10" t="s">
        <v>39</v>
      </c>
      <c r="I15" s="10" t="s">
        <v>46</v>
      </c>
      <c r="J15" s="10" t="s">
        <v>47</v>
      </c>
      <c r="K15" s="8" t="s">
        <v>42</v>
      </c>
      <c r="L15" s="11" t="s">
        <v>34</v>
      </c>
      <c r="M15" s="10" t="s">
        <v>43</v>
      </c>
      <c r="N15" s="10" t="s">
        <v>44</v>
      </c>
      <c r="O15" s="10" t="s">
        <v>28</v>
      </c>
    </row>
    <row r="16" customFormat="false" ht="48" hidden="false" customHeight="true" outlineLevel="0" collapsed="false">
      <c r="A16" s="8" t="n">
        <v>11</v>
      </c>
      <c r="B16" s="7" t="n">
        <v>46213</v>
      </c>
      <c r="C16" s="8" t="str">
        <f aca="false">MID("日月火水木金土",WEEKDAY(B16),1)</f>
        <v>金</v>
      </c>
      <c r="D16" s="8" t="s">
        <v>29</v>
      </c>
      <c r="E16" s="9" t="n">
        <v>69</v>
      </c>
      <c r="F16" s="6" t="s">
        <v>53</v>
      </c>
      <c r="G16" s="6" t="s">
        <v>20</v>
      </c>
      <c r="H16" s="10" t="s">
        <v>21</v>
      </c>
      <c r="I16" s="10" t="s">
        <v>62</v>
      </c>
      <c r="J16" s="10" t="s">
        <v>23</v>
      </c>
      <c r="K16" s="8" t="s">
        <v>24</v>
      </c>
      <c r="L16" s="10" t="s">
        <v>25</v>
      </c>
      <c r="M16" s="10" t="s">
        <v>26</v>
      </c>
      <c r="N16" s="10" t="s">
        <v>27</v>
      </c>
      <c r="O16" s="10" t="s">
        <v>28</v>
      </c>
    </row>
    <row r="17" customFormat="false" ht="48" hidden="false" customHeight="true" outlineLevel="0" collapsed="false">
      <c r="A17" s="8" t="n">
        <v>12</v>
      </c>
      <c r="B17" s="7" t="n">
        <v>46219</v>
      </c>
      <c r="C17" s="8" t="str">
        <f aca="false">MID("日月火水木金土",WEEKDAY(B17),1)</f>
        <v>木</v>
      </c>
      <c r="D17" s="8" t="s">
        <v>29</v>
      </c>
      <c r="E17" s="9" t="n">
        <v>73</v>
      </c>
      <c r="F17" s="6" t="s">
        <v>64</v>
      </c>
      <c r="G17" s="6" t="s">
        <v>20</v>
      </c>
      <c r="H17" s="10" t="s">
        <v>54</v>
      </c>
      <c r="I17" s="10" t="s">
        <v>55</v>
      </c>
      <c r="J17" s="10" t="s">
        <v>63</v>
      </c>
      <c r="K17" s="8" t="s">
        <v>57</v>
      </c>
      <c r="L17" s="10" t="s">
        <v>58</v>
      </c>
      <c r="M17" s="10" t="s">
        <v>26</v>
      </c>
      <c r="N17" s="10" t="s">
        <v>27</v>
      </c>
      <c r="O17" s="10" t="s">
        <v>28</v>
      </c>
    </row>
    <row r="18" customFormat="false" ht="48" hidden="false" customHeight="true" outlineLevel="0" collapsed="false">
      <c r="A18" s="8" t="n">
        <v>13</v>
      </c>
      <c r="B18" s="7" t="n">
        <v>46219</v>
      </c>
      <c r="C18" s="8" t="str">
        <f aca="false">MID("日月火水木金土",WEEKDAY(B18),1)</f>
        <v>木</v>
      </c>
      <c r="D18" s="8" t="s">
        <v>29</v>
      </c>
      <c r="E18" s="9" t="n">
        <v>73</v>
      </c>
      <c r="F18" s="6" t="s">
        <v>65</v>
      </c>
      <c r="G18" s="6" t="s">
        <v>30</v>
      </c>
      <c r="H18" s="10" t="s">
        <v>49</v>
      </c>
      <c r="I18" s="10" t="s">
        <v>50</v>
      </c>
      <c r="J18" s="10" t="s">
        <v>33</v>
      </c>
      <c r="K18" s="8" t="s">
        <v>24</v>
      </c>
      <c r="L18" s="11" t="s">
        <v>34</v>
      </c>
      <c r="M18" s="10" t="s">
        <v>35</v>
      </c>
      <c r="N18" s="10" t="s">
        <v>36</v>
      </c>
      <c r="O18" s="10" t="s">
        <v>28</v>
      </c>
    </row>
    <row r="19" customFormat="false" ht="48" hidden="false" customHeight="true" outlineLevel="0" collapsed="false">
      <c r="A19" s="8" t="n">
        <v>14</v>
      </c>
      <c r="B19" s="7" t="n">
        <v>46220</v>
      </c>
      <c r="C19" s="8" t="str">
        <f aca="false">MID("日月火水木金土",WEEKDAY(B19),1)</f>
        <v>金</v>
      </c>
      <c r="D19" s="8" t="s">
        <v>29</v>
      </c>
      <c r="E19" s="9" t="n">
        <v>74</v>
      </c>
      <c r="F19" s="6" t="s">
        <v>53</v>
      </c>
      <c r="G19" s="6" t="s">
        <v>66</v>
      </c>
      <c r="H19" s="10" t="s">
        <v>21</v>
      </c>
      <c r="I19" s="10" t="s">
        <v>67</v>
      </c>
      <c r="J19" s="10" t="s">
        <v>63</v>
      </c>
      <c r="K19" s="8" t="s">
        <v>24</v>
      </c>
      <c r="L19" s="10" t="s">
        <v>25</v>
      </c>
      <c r="M19" s="10" t="s">
        <v>68</v>
      </c>
      <c r="N19" s="10" t="s">
        <v>69</v>
      </c>
      <c r="O19" s="10" t="s">
        <v>28</v>
      </c>
    </row>
    <row r="20" customFormat="false" ht="48" hidden="false" customHeight="true" outlineLevel="0" collapsed="false">
      <c r="A20" s="8" t="n">
        <v>15</v>
      </c>
      <c r="B20" s="7" t="n">
        <v>46225</v>
      </c>
      <c r="C20" s="8" t="str">
        <f aca="false">MID("日月火水木金土",WEEKDAY(B20),1)</f>
        <v>水</v>
      </c>
      <c r="D20" s="8" t="s">
        <v>29</v>
      </c>
      <c r="E20" s="9" t="n">
        <v>76</v>
      </c>
      <c r="F20" s="6" t="s">
        <v>37</v>
      </c>
      <c r="G20" s="6" t="s">
        <v>20</v>
      </c>
      <c r="H20" s="10" t="s">
        <v>21</v>
      </c>
      <c r="I20" s="10" t="s">
        <v>62</v>
      </c>
      <c r="J20" s="10" t="s">
        <v>23</v>
      </c>
      <c r="K20" s="8" t="s">
        <v>24</v>
      </c>
      <c r="L20" s="10" t="s">
        <v>25</v>
      </c>
      <c r="M20" s="10" t="s">
        <v>26</v>
      </c>
      <c r="N20" s="10" t="s">
        <v>27</v>
      </c>
      <c r="O20" s="10" t="s">
        <v>28</v>
      </c>
    </row>
    <row r="21" customFormat="false" ht="48" hidden="false" customHeight="true" outlineLevel="0" collapsed="false">
      <c r="A21" s="8" t="n">
        <v>16</v>
      </c>
      <c r="B21" s="7" t="n">
        <v>46226</v>
      </c>
      <c r="C21" s="8" t="str">
        <f aca="false">MID("日月火水木金土",WEEKDAY(B21),1)</f>
        <v>木</v>
      </c>
      <c r="D21" s="8" t="s">
        <v>29</v>
      </c>
      <c r="E21" s="9" t="n">
        <v>77</v>
      </c>
      <c r="F21" s="6" t="s">
        <v>64</v>
      </c>
      <c r="G21" s="6" t="s">
        <v>20</v>
      </c>
      <c r="H21" s="10" t="s">
        <v>54</v>
      </c>
      <c r="I21" s="10" t="s">
        <v>55</v>
      </c>
      <c r="J21" s="10" t="s">
        <v>63</v>
      </c>
      <c r="K21" s="8" t="s">
        <v>57</v>
      </c>
      <c r="L21" s="10" t="s">
        <v>58</v>
      </c>
      <c r="M21" s="10" t="s">
        <v>26</v>
      </c>
      <c r="N21" s="10" t="s">
        <v>27</v>
      </c>
      <c r="O21" s="10" t="s">
        <v>28</v>
      </c>
    </row>
    <row r="22" customFormat="false" ht="48" hidden="false" customHeight="true" outlineLevel="0" collapsed="false">
      <c r="A22" s="8" t="n">
        <v>17</v>
      </c>
      <c r="B22" s="7" t="n">
        <v>46227</v>
      </c>
      <c r="C22" s="8" t="str">
        <f aca="false">MID("日月火水木金土",WEEKDAY(B22),1)</f>
        <v>金</v>
      </c>
      <c r="D22" s="8" t="s">
        <v>29</v>
      </c>
      <c r="E22" s="9" t="n">
        <v>78</v>
      </c>
      <c r="F22" s="6" t="s">
        <v>64</v>
      </c>
      <c r="G22" s="6" t="s">
        <v>20</v>
      </c>
      <c r="H22" s="10" t="s">
        <v>21</v>
      </c>
      <c r="I22" s="10" t="s">
        <v>62</v>
      </c>
      <c r="J22" s="10" t="s">
        <v>63</v>
      </c>
      <c r="K22" s="8" t="s">
        <v>24</v>
      </c>
      <c r="L22" s="10" t="s">
        <v>25</v>
      </c>
      <c r="M22" s="10" t="s">
        <v>26</v>
      </c>
      <c r="N22" s="10" t="s">
        <v>27</v>
      </c>
      <c r="O22" s="10" t="s">
        <v>28</v>
      </c>
    </row>
    <row r="23" customFormat="false" ht="48" hidden="false" customHeight="true" outlineLevel="0" collapsed="false">
      <c r="A23" s="8" t="n">
        <v>18</v>
      </c>
      <c r="B23" s="7" t="n">
        <v>46227</v>
      </c>
      <c r="C23" s="8" t="str">
        <f aca="false">MID("日月火水木金土",WEEKDAY(B23),1)</f>
        <v>金</v>
      </c>
      <c r="D23" s="8" t="s">
        <v>29</v>
      </c>
      <c r="E23" s="9" t="n">
        <v>78</v>
      </c>
      <c r="F23" s="6" t="s">
        <v>19</v>
      </c>
      <c r="G23" s="6" t="s">
        <v>66</v>
      </c>
      <c r="H23" s="10" t="s">
        <v>21</v>
      </c>
      <c r="I23" s="10" t="s">
        <v>70</v>
      </c>
      <c r="J23" s="10" t="s">
        <v>63</v>
      </c>
      <c r="K23" s="8" t="s">
        <v>24</v>
      </c>
      <c r="L23" s="10" t="s">
        <v>25</v>
      </c>
      <c r="M23" s="10" t="s">
        <v>68</v>
      </c>
      <c r="N23" s="10" t="s">
        <v>69</v>
      </c>
      <c r="O23" s="10" t="s">
        <v>28</v>
      </c>
    </row>
    <row r="24" customFormat="false" ht="48" hidden="false" customHeight="true" outlineLevel="0" collapsed="false">
      <c r="A24" s="8" t="n">
        <v>19</v>
      </c>
      <c r="B24" s="7" t="n">
        <v>46227</v>
      </c>
      <c r="C24" s="8" t="str">
        <f aca="false">MID("日月火水木金土",WEEKDAY(B24),1)</f>
        <v>金</v>
      </c>
      <c r="D24" s="8" t="s">
        <v>29</v>
      </c>
      <c r="E24" s="9" t="n">
        <v>78</v>
      </c>
      <c r="F24" s="6" t="s">
        <v>37</v>
      </c>
      <c r="G24" s="6" t="s">
        <v>30</v>
      </c>
      <c r="H24" s="10" t="s">
        <v>49</v>
      </c>
      <c r="I24" s="10" t="s">
        <v>50</v>
      </c>
      <c r="J24" s="10" t="s">
        <v>33</v>
      </c>
      <c r="K24" s="8" t="s">
        <v>24</v>
      </c>
      <c r="L24" s="11" t="s">
        <v>34</v>
      </c>
      <c r="M24" s="10" t="s">
        <v>35</v>
      </c>
      <c r="N24" s="10" t="s">
        <v>36</v>
      </c>
      <c r="O24" s="10" t="s">
        <v>28</v>
      </c>
    </row>
    <row r="25" customFormat="false" ht="48" hidden="false" customHeight="true" outlineLevel="0" collapsed="false">
      <c r="A25" s="8" t="n">
        <v>20</v>
      </c>
      <c r="B25" s="7" t="n">
        <v>46227</v>
      </c>
      <c r="C25" s="8" t="str">
        <f aca="false">MID("日月火水木金土",WEEKDAY(B25),1)</f>
        <v>金</v>
      </c>
      <c r="D25" s="8" t="s">
        <v>29</v>
      </c>
      <c r="E25" s="9" t="n">
        <v>78</v>
      </c>
      <c r="F25" s="6" t="s">
        <v>53</v>
      </c>
      <c r="G25" s="6" t="s">
        <v>30</v>
      </c>
      <c r="H25" s="10" t="s">
        <v>71</v>
      </c>
      <c r="I25" s="10" t="s">
        <v>72</v>
      </c>
      <c r="J25" s="10" t="s">
        <v>33</v>
      </c>
      <c r="K25" s="8" t="s">
        <v>24</v>
      </c>
      <c r="L25" s="11" t="s">
        <v>34</v>
      </c>
      <c r="M25" s="10" t="s">
        <v>35</v>
      </c>
      <c r="N25" s="10" t="s">
        <v>36</v>
      </c>
      <c r="O25" s="10" t="s">
        <v>28</v>
      </c>
    </row>
    <row r="26" customFormat="false" ht="48" hidden="false" customHeight="true" outlineLevel="0" collapsed="false">
      <c r="A26" s="8" t="n">
        <v>21</v>
      </c>
      <c r="B26" s="7" t="n">
        <v>46227</v>
      </c>
      <c r="C26" s="8" t="str">
        <f aca="false">MID("日月火水木金土",WEEKDAY(B26),1)</f>
        <v>金</v>
      </c>
      <c r="D26" s="8" t="s">
        <v>29</v>
      </c>
      <c r="E26" s="9" t="n">
        <v>78</v>
      </c>
      <c r="F26" s="6" t="s">
        <v>59</v>
      </c>
      <c r="G26" s="6" t="s">
        <v>30</v>
      </c>
      <c r="H26" s="10" t="s">
        <v>73</v>
      </c>
      <c r="I26" s="10" t="s">
        <v>74</v>
      </c>
      <c r="J26" s="10" t="s">
        <v>33</v>
      </c>
      <c r="K26" s="8" t="s">
        <v>24</v>
      </c>
      <c r="L26" s="11" t="s">
        <v>34</v>
      </c>
      <c r="M26" s="10" t="s">
        <v>35</v>
      </c>
      <c r="N26" s="10" t="s">
        <v>36</v>
      </c>
      <c r="O26" s="10" t="s">
        <v>28</v>
      </c>
    </row>
    <row r="27" customFormat="false" ht="48" hidden="false" customHeight="true" outlineLevel="0" collapsed="false">
      <c r="A27" s="8" t="n">
        <v>22</v>
      </c>
      <c r="B27" s="7" t="n">
        <v>46227</v>
      </c>
      <c r="C27" s="8" t="str">
        <f aca="false">MID("日月火水木金土",WEEKDAY(B27),1)</f>
        <v>金</v>
      </c>
      <c r="D27" s="8" t="s">
        <v>29</v>
      </c>
      <c r="E27" s="9" t="n">
        <v>78</v>
      </c>
      <c r="F27" s="6" t="s">
        <v>75</v>
      </c>
      <c r="G27" s="6" t="s">
        <v>30</v>
      </c>
      <c r="H27" s="10" t="s">
        <v>31</v>
      </c>
      <c r="I27" s="10" t="s">
        <v>32</v>
      </c>
      <c r="J27" s="10" t="s">
        <v>33</v>
      </c>
      <c r="K27" s="8" t="s">
        <v>24</v>
      </c>
      <c r="L27" s="11" t="s">
        <v>34</v>
      </c>
      <c r="M27" s="10" t="s">
        <v>35</v>
      </c>
      <c r="N27" s="10" t="s">
        <v>36</v>
      </c>
      <c r="O27" s="10" t="s">
        <v>28</v>
      </c>
    </row>
    <row r="28" customFormat="false" ht="48" hidden="false" customHeight="true" outlineLevel="0" collapsed="false">
      <c r="A28" s="8" t="n">
        <v>23</v>
      </c>
      <c r="B28" s="7" t="n">
        <v>46233</v>
      </c>
      <c r="C28" s="8" t="str">
        <f aca="false">MID("日月火水木金土",WEEKDAY(B28),1)</f>
        <v>木</v>
      </c>
      <c r="D28" s="8" t="s">
        <v>29</v>
      </c>
      <c r="E28" s="9" t="n">
        <v>82</v>
      </c>
      <c r="F28" s="6" t="s">
        <v>59</v>
      </c>
      <c r="G28" s="6" t="s">
        <v>20</v>
      </c>
      <c r="H28" s="10" t="s">
        <v>76</v>
      </c>
      <c r="I28" s="11" t="s">
        <v>34</v>
      </c>
      <c r="J28" s="10" t="s">
        <v>77</v>
      </c>
      <c r="K28" s="8" t="s">
        <v>78</v>
      </c>
      <c r="L28" s="10" t="s">
        <v>79</v>
      </c>
      <c r="M28" s="10" t="s">
        <v>26</v>
      </c>
      <c r="N28" s="10" t="s">
        <v>27</v>
      </c>
      <c r="O28" s="10" t="s">
        <v>80</v>
      </c>
    </row>
    <row r="29" customFormat="false" ht="48" hidden="false" customHeight="true" outlineLevel="0" collapsed="false">
      <c r="A29" s="8" t="n">
        <v>24</v>
      </c>
      <c r="B29" s="7" t="n">
        <v>46233</v>
      </c>
      <c r="C29" s="8" t="str">
        <f aca="false">MID("日月火水木金土",WEEKDAY(B29),1)</f>
        <v>木</v>
      </c>
      <c r="D29" s="8" t="s">
        <v>29</v>
      </c>
      <c r="E29" s="9" t="n">
        <v>82</v>
      </c>
      <c r="F29" s="6" t="s">
        <v>81</v>
      </c>
      <c r="G29" s="6" t="s">
        <v>30</v>
      </c>
      <c r="H29" s="10" t="s">
        <v>71</v>
      </c>
      <c r="I29" s="10" t="s">
        <v>82</v>
      </c>
      <c r="J29" s="10" t="s">
        <v>83</v>
      </c>
      <c r="K29" s="8" t="s">
        <v>24</v>
      </c>
      <c r="L29" s="11" t="s">
        <v>34</v>
      </c>
      <c r="M29" s="10" t="s">
        <v>35</v>
      </c>
      <c r="N29" s="10" t="s">
        <v>36</v>
      </c>
      <c r="O29" s="10" t="s">
        <v>28</v>
      </c>
    </row>
    <row r="30" customFormat="false" ht="48" hidden="false" customHeight="true" outlineLevel="0" collapsed="false">
      <c r="A30" s="8" t="n">
        <v>25</v>
      </c>
      <c r="B30" s="7" t="n">
        <v>46234</v>
      </c>
      <c r="C30" s="8" t="str">
        <f aca="false">MID("日月火水木金土",WEEKDAY(B30),1)</f>
        <v>金</v>
      </c>
      <c r="D30" s="8" t="s">
        <v>29</v>
      </c>
      <c r="E30" s="9" t="n">
        <v>83</v>
      </c>
      <c r="F30" s="6" t="s">
        <v>53</v>
      </c>
      <c r="G30" s="6" t="s">
        <v>30</v>
      </c>
      <c r="H30" s="10" t="s">
        <v>49</v>
      </c>
      <c r="I30" s="10" t="s">
        <v>50</v>
      </c>
      <c r="J30" s="10" t="s">
        <v>33</v>
      </c>
      <c r="K30" s="8" t="s">
        <v>24</v>
      </c>
      <c r="L30" s="11" t="s">
        <v>34</v>
      </c>
      <c r="M30" s="10" t="s">
        <v>35</v>
      </c>
      <c r="N30" s="10" t="s">
        <v>36</v>
      </c>
      <c r="O30" s="10" t="s">
        <v>28</v>
      </c>
    </row>
    <row r="31" customFormat="false" ht="14.15" hidden="false" customHeight="false" outlineLevel="0" collapsed="false">
      <c r="A31" s="5" t="s">
        <v>84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false" ht="48" hidden="false" customHeight="true" outlineLevel="0" collapsed="false">
      <c r="A32" s="8" t="n">
        <v>26</v>
      </c>
      <c r="B32" s="7" t="n">
        <v>46238</v>
      </c>
      <c r="C32" s="8" t="str">
        <f aca="false">MID("日月火水木金土",WEEKDAY(B32),1)</f>
        <v>火</v>
      </c>
      <c r="D32" s="8" t="s">
        <v>29</v>
      </c>
      <c r="E32" s="9" t="n">
        <v>85</v>
      </c>
      <c r="F32" s="6" t="s">
        <v>64</v>
      </c>
      <c r="G32" s="6" t="s">
        <v>20</v>
      </c>
      <c r="H32" s="10" t="s">
        <v>54</v>
      </c>
      <c r="I32" s="10" t="s">
        <v>55</v>
      </c>
      <c r="J32" s="10" t="s">
        <v>63</v>
      </c>
      <c r="K32" s="8" t="s">
        <v>57</v>
      </c>
      <c r="L32" s="10" t="s">
        <v>58</v>
      </c>
      <c r="M32" s="10" t="s">
        <v>26</v>
      </c>
      <c r="N32" s="10" t="s">
        <v>27</v>
      </c>
      <c r="O32" s="10" t="s">
        <v>28</v>
      </c>
    </row>
    <row r="33" customFormat="false" ht="48" hidden="false" customHeight="true" outlineLevel="0" collapsed="false">
      <c r="A33" s="8" t="n">
        <v>27</v>
      </c>
      <c r="B33" s="7" t="n">
        <v>46246</v>
      </c>
      <c r="C33" s="8" t="str">
        <f aca="false">MID("日月火水木金土",WEEKDAY(B33),1)</f>
        <v>水</v>
      </c>
      <c r="D33" s="8" t="s">
        <v>48</v>
      </c>
      <c r="E33" s="9" t="n">
        <v>90</v>
      </c>
      <c r="F33" s="6" t="s">
        <v>61</v>
      </c>
      <c r="G33" s="6" t="s">
        <v>20</v>
      </c>
      <c r="H33" s="10" t="s">
        <v>54</v>
      </c>
      <c r="I33" s="10" t="s">
        <v>55</v>
      </c>
      <c r="J33" s="10" t="s">
        <v>23</v>
      </c>
      <c r="K33" s="8" t="s">
        <v>57</v>
      </c>
      <c r="L33" s="10" t="s">
        <v>58</v>
      </c>
      <c r="M33" s="10" t="s">
        <v>26</v>
      </c>
      <c r="N33" s="10" t="s">
        <v>27</v>
      </c>
      <c r="O33" s="10" t="s">
        <v>51</v>
      </c>
    </row>
    <row r="34" customFormat="false" ht="48" hidden="false" customHeight="true" outlineLevel="0" collapsed="false">
      <c r="A34" s="8" t="n">
        <v>28</v>
      </c>
      <c r="B34" s="7" t="n">
        <v>46246</v>
      </c>
      <c r="C34" s="8" t="str">
        <f aca="false">MID("日月火水木金土",WEEKDAY(B34),1)</f>
        <v>水</v>
      </c>
      <c r="D34" s="8" t="s">
        <v>48</v>
      </c>
      <c r="E34" s="9" t="n">
        <v>90</v>
      </c>
      <c r="F34" s="6" t="s">
        <v>65</v>
      </c>
      <c r="G34" s="6" t="s">
        <v>30</v>
      </c>
      <c r="H34" s="10" t="s">
        <v>71</v>
      </c>
      <c r="I34" s="10" t="s">
        <v>72</v>
      </c>
      <c r="J34" s="10" t="s">
        <v>83</v>
      </c>
      <c r="K34" s="8" t="s">
        <v>42</v>
      </c>
      <c r="L34" s="11" t="s">
        <v>34</v>
      </c>
      <c r="M34" s="10" t="s">
        <v>35</v>
      </c>
      <c r="N34" s="10" t="s">
        <v>36</v>
      </c>
      <c r="O34" s="10" t="s">
        <v>51</v>
      </c>
    </row>
    <row r="35" customFormat="false" ht="48" hidden="false" customHeight="true" outlineLevel="0" collapsed="false">
      <c r="A35" s="8" t="n">
        <v>29</v>
      </c>
      <c r="B35" s="7" t="n">
        <v>46246</v>
      </c>
      <c r="C35" s="8" t="str">
        <f aca="false">MID("日月火水木金土",WEEKDAY(B35),1)</f>
        <v>水</v>
      </c>
      <c r="D35" s="8" t="s">
        <v>48</v>
      </c>
      <c r="E35" s="9" t="n">
        <v>90</v>
      </c>
      <c r="F35" s="6" t="s">
        <v>85</v>
      </c>
      <c r="G35" s="6" t="s">
        <v>30</v>
      </c>
      <c r="H35" s="10" t="s">
        <v>86</v>
      </c>
      <c r="I35" s="10" t="s">
        <v>87</v>
      </c>
      <c r="J35" s="10" t="s">
        <v>83</v>
      </c>
      <c r="K35" s="8" t="s">
        <v>42</v>
      </c>
      <c r="L35" s="11" t="s">
        <v>34</v>
      </c>
      <c r="M35" s="10" t="s">
        <v>35</v>
      </c>
      <c r="N35" s="10" t="s">
        <v>36</v>
      </c>
      <c r="O35" s="10" t="s">
        <v>51</v>
      </c>
    </row>
    <row r="36" customFormat="false" ht="48" hidden="false" customHeight="true" outlineLevel="0" collapsed="false">
      <c r="A36" s="8" t="n">
        <v>30</v>
      </c>
      <c r="B36" s="7" t="n">
        <v>46248</v>
      </c>
      <c r="C36" s="8" t="str">
        <f aca="false">MID("日月火水木金土",WEEKDAY(B36),1)</f>
        <v>金</v>
      </c>
      <c r="D36" s="8" t="s">
        <v>29</v>
      </c>
      <c r="E36" s="9" t="n">
        <v>92</v>
      </c>
      <c r="F36" s="6" t="s">
        <v>61</v>
      </c>
      <c r="G36" s="6" t="s">
        <v>30</v>
      </c>
      <c r="H36" s="10" t="s">
        <v>71</v>
      </c>
      <c r="I36" s="10" t="s">
        <v>72</v>
      </c>
      <c r="J36" s="10" t="s">
        <v>33</v>
      </c>
      <c r="K36" s="8" t="s">
        <v>24</v>
      </c>
      <c r="L36" s="11" t="s">
        <v>34</v>
      </c>
      <c r="M36" s="10" t="s">
        <v>35</v>
      </c>
      <c r="N36" s="10" t="s">
        <v>36</v>
      </c>
      <c r="O36" s="10" t="s">
        <v>28</v>
      </c>
    </row>
    <row r="37" customFormat="false" ht="48" hidden="false" customHeight="true" outlineLevel="0" collapsed="false">
      <c r="A37" s="8" t="n">
        <v>31</v>
      </c>
      <c r="B37" s="7" t="n">
        <v>46248</v>
      </c>
      <c r="C37" s="8" t="str">
        <f aca="false">MID("日月火水木金土",WEEKDAY(B37),1)</f>
        <v>金</v>
      </c>
      <c r="D37" s="8" t="s">
        <v>29</v>
      </c>
      <c r="E37" s="9" t="n">
        <v>92</v>
      </c>
      <c r="F37" s="6" t="s">
        <v>37</v>
      </c>
      <c r="G37" s="6" t="s">
        <v>30</v>
      </c>
      <c r="H37" s="10" t="s">
        <v>73</v>
      </c>
      <c r="I37" s="10" t="s">
        <v>74</v>
      </c>
      <c r="J37" s="10" t="s">
        <v>33</v>
      </c>
      <c r="K37" s="8" t="s">
        <v>24</v>
      </c>
      <c r="L37" s="11" t="s">
        <v>34</v>
      </c>
      <c r="M37" s="10" t="s">
        <v>35</v>
      </c>
      <c r="N37" s="10" t="s">
        <v>36</v>
      </c>
      <c r="O37" s="10" t="s">
        <v>28</v>
      </c>
    </row>
    <row r="38" customFormat="false" ht="48" hidden="false" customHeight="true" outlineLevel="0" collapsed="false">
      <c r="A38" s="8" t="n">
        <v>32</v>
      </c>
      <c r="B38" s="7" t="n">
        <v>46248</v>
      </c>
      <c r="C38" s="8" t="str">
        <f aca="false">MID("日月火水木金土",WEEKDAY(B38),1)</f>
        <v>金</v>
      </c>
      <c r="D38" s="8" t="s">
        <v>29</v>
      </c>
      <c r="E38" s="9" t="n">
        <v>92</v>
      </c>
      <c r="F38" s="6" t="s">
        <v>53</v>
      </c>
      <c r="G38" s="6" t="s">
        <v>30</v>
      </c>
      <c r="H38" s="10" t="s">
        <v>31</v>
      </c>
      <c r="I38" s="10" t="s">
        <v>32</v>
      </c>
      <c r="J38" s="10" t="s">
        <v>33</v>
      </c>
      <c r="K38" s="8" t="s">
        <v>24</v>
      </c>
      <c r="L38" s="11" t="s">
        <v>34</v>
      </c>
      <c r="M38" s="10" t="s">
        <v>35</v>
      </c>
      <c r="N38" s="10" t="s">
        <v>36</v>
      </c>
      <c r="O38" s="10" t="s">
        <v>28</v>
      </c>
    </row>
    <row r="39" customFormat="false" ht="48" hidden="false" customHeight="true" outlineLevel="0" collapsed="false">
      <c r="A39" s="8" t="n">
        <v>33</v>
      </c>
      <c r="B39" s="7" t="n">
        <v>46255</v>
      </c>
      <c r="C39" s="8" t="str">
        <f aca="false">MID("日月火水木金土",WEEKDAY(B39),1)</f>
        <v>金</v>
      </c>
      <c r="D39" s="8" t="s">
        <v>29</v>
      </c>
      <c r="E39" s="9" t="n">
        <v>97</v>
      </c>
      <c r="F39" s="6" t="s">
        <v>61</v>
      </c>
      <c r="G39" s="6" t="s">
        <v>20</v>
      </c>
      <c r="H39" s="10" t="s">
        <v>54</v>
      </c>
      <c r="I39" s="10" t="s">
        <v>55</v>
      </c>
      <c r="J39" s="10" t="s">
        <v>63</v>
      </c>
      <c r="K39" s="8" t="s">
        <v>57</v>
      </c>
      <c r="L39" s="10" t="s">
        <v>58</v>
      </c>
      <c r="M39" s="10" t="s">
        <v>26</v>
      </c>
      <c r="N39" s="10" t="s">
        <v>27</v>
      </c>
      <c r="O39" s="10" t="s">
        <v>28</v>
      </c>
    </row>
    <row r="40" customFormat="false" ht="48" hidden="false" customHeight="true" outlineLevel="0" collapsed="false">
      <c r="A40" s="8" t="n">
        <v>34</v>
      </c>
      <c r="B40" s="7" t="n">
        <v>46261</v>
      </c>
      <c r="C40" s="8" t="str">
        <f aca="false">MID("日月火水木金土",WEEKDAY(B40),1)</f>
        <v>木</v>
      </c>
      <c r="D40" s="8" t="s">
        <v>88</v>
      </c>
      <c r="E40" s="9" t="n">
        <v>101</v>
      </c>
      <c r="F40" s="6" t="s">
        <v>89</v>
      </c>
      <c r="G40" s="6" t="s">
        <v>30</v>
      </c>
      <c r="H40" s="10" t="s">
        <v>31</v>
      </c>
      <c r="I40" s="10" t="s">
        <v>32</v>
      </c>
      <c r="J40" s="10" t="s">
        <v>33</v>
      </c>
      <c r="K40" s="8" t="s">
        <v>24</v>
      </c>
      <c r="L40" s="11" t="s">
        <v>34</v>
      </c>
      <c r="M40" s="10" t="s">
        <v>35</v>
      </c>
      <c r="N40" s="10" t="s">
        <v>36</v>
      </c>
      <c r="O40" s="10" t="s">
        <v>90</v>
      </c>
    </row>
    <row r="41" customFormat="false" ht="48" hidden="false" customHeight="true" outlineLevel="0" collapsed="false">
      <c r="A41" s="8" t="n">
        <v>35</v>
      </c>
      <c r="B41" s="7" t="n">
        <v>46261</v>
      </c>
      <c r="C41" s="8" t="str">
        <f aca="false">MID("日月火水木金土",WEEKDAY(B41),1)</f>
        <v>木</v>
      </c>
      <c r="D41" s="8" t="s">
        <v>88</v>
      </c>
      <c r="E41" s="9" t="n">
        <v>101</v>
      </c>
      <c r="F41" s="6" t="s">
        <v>53</v>
      </c>
      <c r="G41" s="6" t="s">
        <v>30</v>
      </c>
      <c r="H41" s="10" t="s">
        <v>73</v>
      </c>
      <c r="I41" s="10" t="s">
        <v>74</v>
      </c>
      <c r="J41" s="10" t="s">
        <v>33</v>
      </c>
      <c r="K41" s="8" t="s">
        <v>24</v>
      </c>
      <c r="L41" s="11" t="s">
        <v>34</v>
      </c>
      <c r="M41" s="10" t="s">
        <v>35</v>
      </c>
      <c r="N41" s="10" t="s">
        <v>36</v>
      </c>
      <c r="O41" s="10" t="s">
        <v>51</v>
      </c>
    </row>
    <row r="42" customFormat="false" ht="48" hidden="false" customHeight="true" outlineLevel="0" collapsed="false">
      <c r="A42" s="8" t="n">
        <v>36</v>
      </c>
      <c r="B42" s="7" t="n">
        <v>46261</v>
      </c>
      <c r="C42" s="8" t="str">
        <f aca="false">MID("日月火水木金土",WEEKDAY(B42),1)</f>
        <v>木</v>
      </c>
      <c r="D42" s="8" t="s">
        <v>88</v>
      </c>
      <c r="E42" s="9" t="n">
        <v>101</v>
      </c>
      <c r="F42" s="6" t="s">
        <v>75</v>
      </c>
      <c r="G42" s="6" t="s">
        <v>30</v>
      </c>
      <c r="H42" s="10" t="s">
        <v>71</v>
      </c>
      <c r="I42" s="10" t="s">
        <v>72</v>
      </c>
      <c r="J42" s="10" t="s">
        <v>33</v>
      </c>
      <c r="K42" s="8" t="s">
        <v>24</v>
      </c>
      <c r="L42" s="11" t="s">
        <v>34</v>
      </c>
      <c r="M42" s="10" t="s">
        <v>35</v>
      </c>
      <c r="N42" s="10" t="s">
        <v>36</v>
      </c>
      <c r="O42" s="10" t="s">
        <v>51</v>
      </c>
    </row>
    <row r="43" customFormat="false" ht="48" hidden="false" customHeight="true" outlineLevel="0" collapsed="false">
      <c r="A43" s="8" t="n">
        <v>37</v>
      </c>
      <c r="B43" s="7" t="n">
        <v>46262</v>
      </c>
      <c r="C43" s="8" t="str">
        <f aca="false">MID("日月火水木金土",WEEKDAY(B43),1)</f>
        <v>金</v>
      </c>
      <c r="D43" s="8" t="s">
        <v>52</v>
      </c>
      <c r="E43" s="9" t="n">
        <v>102</v>
      </c>
      <c r="F43" s="6" t="s">
        <v>61</v>
      </c>
      <c r="G43" s="6" t="s">
        <v>20</v>
      </c>
      <c r="H43" s="10" t="s">
        <v>54</v>
      </c>
      <c r="I43" s="10" t="s">
        <v>55</v>
      </c>
      <c r="J43" s="10" t="s">
        <v>63</v>
      </c>
      <c r="K43" s="8" t="s">
        <v>57</v>
      </c>
      <c r="L43" s="10" t="s">
        <v>58</v>
      </c>
      <c r="M43" s="10" t="s">
        <v>26</v>
      </c>
      <c r="N43" s="10" t="s">
        <v>27</v>
      </c>
      <c r="O43" s="10" t="s">
        <v>28</v>
      </c>
    </row>
    <row r="44" customFormat="false" ht="48" hidden="false" customHeight="true" outlineLevel="0" collapsed="false">
      <c r="A44" s="8" t="n">
        <v>38</v>
      </c>
      <c r="B44" s="7" t="n">
        <v>46265</v>
      </c>
      <c r="C44" s="8" t="str">
        <f aca="false">MID("日月火水木金土",WEEKDAY(B44),1)</f>
        <v>月</v>
      </c>
      <c r="D44" s="8" t="s">
        <v>29</v>
      </c>
      <c r="E44" s="9" t="n">
        <v>103</v>
      </c>
      <c r="F44" s="6" t="s">
        <v>19</v>
      </c>
      <c r="G44" s="6" t="s">
        <v>20</v>
      </c>
      <c r="H44" s="10" t="s">
        <v>54</v>
      </c>
      <c r="I44" s="10" t="s">
        <v>55</v>
      </c>
      <c r="J44" s="10" t="s">
        <v>63</v>
      </c>
      <c r="K44" s="8" t="s">
        <v>57</v>
      </c>
      <c r="L44" s="10" t="s">
        <v>58</v>
      </c>
      <c r="M44" s="10" t="s">
        <v>26</v>
      </c>
      <c r="N44" s="10" t="s">
        <v>27</v>
      </c>
      <c r="O44" s="10" t="s">
        <v>28</v>
      </c>
    </row>
    <row r="45" customFormat="false" ht="14.15" hidden="false" customHeight="false" outlineLevel="0" collapsed="false">
      <c r="A45" s="5" t="s">
        <v>91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customFormat="false" ht="48" hidden="false" customHeight="true" outlineLevel="0" collapsed="false">
      <c r="A46" s="8" t="n">
        <v>39</v>
      </c>
      <c r="B46" s="7" t="n">
        <v>46268</v>
      </c>
      <c r="C46" s="8" t="str">
        <f aca="false">MID("日月火水木金土",WEEKDAY(B46),1)</f>
        <v>木</v>
      </c>
      <c r="D46" s="8" t="s">
        <v>88</v>
      </c>
      <c r="E46" s="9" t="n">
        <v>106</v>
      </c>
      <c r="F46" s="6" t="s">
        <v>45</v>
      </c>
      <c r="G46" s="6" t="s">
        <v>20</v>
      </c>
      <c r="H46" s="10" t="s">
        <v>92</v>
      </c>
      <c r="I46" s="10" t="s">
        <v>93</v>
      </c>
      <c r="J46" s="10" t="s">
        <v>60</v>
      </c>
      <c r="K46" s="8" t="s">
        <v>24</v>
      </c>
      <c r="L46" s="10" t="s">
        <v>94</v>
      </c>
      <c r="M46" s="10" t="s">
        <v>26</v>
      </c>
      <c r="N46" s="10" t="s">
        <v>27</v>
      </c>
      <c r="O46" s="10" t="s">
        <v>95</v>
      </c>
    </row>
    <row r="47" customFormat="false" ht="48" hidden="false" customHeight="true" outlineLevel="0" collapsed="false">
      <c r="A47" s="8" t="n">
        <v>40</v>
      </c>
      <c r="B47" s="7" t="n">
        <v>46276</v>
      </c>
      <c r="C47" s="8" t="str">
        <f aca="false">MID("日月火水木金土",WEEKDAY(B47),1)</f>
        <v>金</v>
      </c>
      <c r="D47" s="8" t="s">
        <v>48</v>
      </c>
      <c r="E47" s="9" t="n">
        <v>112</v>
      </c>
      <c r="F47" s="6" t="s">
        <v>45</v>
      </c>
      <c r="G47" s="6" t="s">
        <v>30</v>
      </c>
      <c r="H47" s="10" t="s">
        <v>71</v>
      </c>
      <c r="I47" s="10" t="s">
        <v>72</v>
      </c>
      <c r="J47" s="10" t="s">
        <v>33</v>
      </c>
      <c r="K47" s="8" t="s">
        <v>24</v>
      </c>
      <c r="L47" s="11" t="s">
        <v>34</v>
      </c>
      <c r="M47" s="10" t="s">
        <v>35</v>
      </c>
      <c r="N47" s="10" t="s">
        <v>36</v>
      </c>
      <c r="O47" s="10" t="s">
        <v>95</v>
      </c>
    </row>
    <row r="48" customFormat="false" ht="48" hidden="false" customHeight="true" outlineLevel="0" collapsed="false">
      <c r="A48" s="8" t="n">
        <v>41</v>
      </c>
      <c r="B48" s="7" t="n">
        <v>46276</v>
      </c>
      <c r="C48" s="8" t="str">
        <f aca="false">MID("日月火水木金土",WEEKDAY(B48),1)</f>
        <v>金</v>
      </c>
      <c r="D48" s="8" t="s">
        <v>48</v>
      </c>
      <c r="E48" s="9" t="n">
        <v>112</v>
      </c>
      <c r="F48" s="6" t="s">
        <v>75</v>
      </c>
      <c r="G48" s="6" t="s">
        <v>30</v>
      </c>
      <c r="H48" s="10" t="s">
        <v>73</v>
      </c>
      <c r="I48" s="10" t="s">
        <v>74</v>
      </c>
      <c r="J48" s="10" t="s">
        <v>33</v>
      </c>
      <c r="K48" s="8" t="s">
        <v>24</v>
      </c>
      <c r="L48" s="11" t="s">
        <v>34</v>
      </c>
      <c r="M48" s="10" t="s">
        <v>35</v>
      </c>
      <c r="N48" s="10" t="s">
        <v>36</v>
      </c>
      <c r="O48" s="10" t="s">
        <v>95</v>
      </c>
    </row>
    <row r="49" customFormat="false" ht="48" hidden="false" customHeight="true" outlineLevel="0" collapsed="false">
      <c r="A49" s="8" t="n">
        <v>42</v>
      </c>
      <c r="B49" s="7" t="n">
        <v>46276</v>
      </c>
      <c r="C49" s="8" t="str">
        <f aca="false">MID("日月火水木金土",WEEKDAY(B49),1)</f>
        <v>金</v>
      </c>
      <c r="D49" s="8" t="s">
        <v>48</v>
      </c>
      <c r="E49" s="9" t="n">
        <v>112</v>
      </c>
      <c r="F49" s="6" t="s">
        <v>81</v>
      </c>
      <c r="G49" s="6" t="s">
        <v>30</v>
      </c>
      <c r="H49" s="10" t="s">
        <v>31</v>
      </c>
      <c r="I49" s="10" t="s">
        <v>32</v>
      </c>
      <c r="J49" s="10" t="s">
        <v>33</v>
      </c>
      <c r="K49" s="8" t="s">
        <v>24</v>
      </c>
      <c r="L49" s="11" t="s">
        <v>34</v>
      </c>
      <c r="M49" s="10" t="s">
        <v>35</v>
      </c>
      <c r="N49" s="10" t="s">
        <v>36</v>
      </c>
      <c r="O49" s="10" t="s">
        <v>95</v>
      </c>
    </row>
    <row r="50" customFormat="false" ht="48" hidden="false" customHeight="true" outlineLevel="0" collapsed="false">
      <c r="A50" s="8" t="n">
        <v>43</v>
      </c>
      <c r="B50" s="7" t="n">
        <v>46282</v>
      </c>
      <c r="C50" s="8" t="str">
        <f aca="false">MID("日月火水木金土",WEEKDAY(B50),1)</f>
        <v>木</v>
      </c>
      <c r="D50" s="8" t="s">
        <v>96</v>
      </c>
      <c r="E50" s="9" t="n">
        <v>116</v>
      </c>
      <c r="F50" s="6" t="s">
        <v>59</v>
      </c>
      <c r="G50" s="6" t="s">
        <v>20</v>
      </c>
      <c r="H50" s="10" t="s">
        <v>97</v>
      </c>
      <c r="I50" s="11" t="s">
        <v>34</v>
      </c>
      <c r="J50" s="10" t="s">
        <v>98</v>
      </c>
      <c r="K50" s="8" t="s">
        <v>24</v>
      </c>
      <c r="L50" s="10" t="s">
        <v>25</v>
      </c>
      <c r="M50" s="10" t="s">
        <v>26</v>
      </c>
      <c r="N50" s="10" t="s">
        <v>27</v>
      </c>
      <c r="O50" s="10" t="s">
        <v>80</v>
      </c>
    </row>
    <row r="51" customFormat="false" ht="48" hidden="false" customHeight="true" outlineLevel="0" collapsed="false">
      <c r="A51" s="8" t="n">
        <v>44</v>
      </c>
      <c r="B51" s="7" t="n">
        <v>46283</v>
      </c>
      <c r="C51" s="8" t="str">
        <f aca="false">MID("日月火水木金土",WEEKDAY(B51),1)</f>
        <v>金</v>
      </c>
      <c r="D51" s="8" t="s">
        <v>96</v>
      </c>
      <c r="E51" s="9" t="n">
        <v>117</v>
      </c>
      <c r="F51" s="6" t="s">
        <v>45</v>
      </c>
      <c r="G51" s="6" t="s">
        <v>99</v>
      </c>
      <c r="H51" s="10" t="s">
        <v>100</v>
      </c>
      <c r="I51" s="11" t="s">
        <v>34</v>
      </c>
      <c r="J51" s="10" t="s">
        <v>101</v>
      </c>
      <c r="K51" s="8" t="s">
        <v>24</v>
      </c>
      <c r="L51" s="10" t="s">
        <v>102</v>
      </c>
      <c r="M51" s="10" t="s">
        <v>103</v>
      </c>
      <c r="N51" s="10" t="s">
        <v>104</v>
      </c>
      <c r="O51" s="10" t="s">
        <v>28</v>
      </c>
    </row>
    <row r="52" customFormat="false" ht="48" hidden="false" customHeight="true" outlineLevel="0" collapsed="false">
      <c r="A52" s="8" t="n">
        <v>45</v>
      </c>
      <c r="B52" s="7" t="n">
        <v>46289</v>
      </c>
      <c r="C52" s="8" t="str">
        <f aca="false">MID("日月火水木金土",WEEKDAY(B52),1)</f>
        <v>木</v>
      </c>
      <c r="D52" s="8" t="s">
        <v>29</v>
      </c>
      <c r="E52" s="9" t="n">
        <v>118</v>
      </c>
      <c r="F52" s="6" t="s">
        <v>19</v>
      </c>
      <c r="G52" s="6" t="s">
        <v>30</v>
      </c>
      <c r="H52" s="10" t="s">
        <v>71</v>
      </c>
      <c r="I52" s="10" t="s">
        <v>72</v>
      </c>
      <c r="J52" s="10" t="s">
        <v>33</v>
      </c>
      <c r="K52" s="8" t="s">
        <v>24</v>
      </c>
      <c r="L52" s="11" t="s">
        <v>34</v>
      </c>
      <c r="M52" s="10" t="s">
        <v>35</v>
      </c>
      <c r="N52" s="10" t="s">
        <v>36</v>
      </c>
      <c r="O52" s="10"/>
    </row>
    <row r="53" customFormat="false" ht="48" hidden="false" customHeight="true" outlineLevel="0" collapsed="false">
      <c r="A53" s="8" t="n">
        <v>46</v>
      </c>
      <c r="B53" s="7" t="n">
        <v>46289</v>
      </c>
      <c r="C53" s="8" t="str">
        <f aca="false">MID("日月火水木金土",WEEKDAY(B53),1)</f>
        <v>木</v>
      </c>
      <c r="D53" s="8" t="s">
        <v>29</v>
      </c>
      <c r="E53" s="9" t="n">
        <v>118</v>
      </c>
      <c r="F53" s="6" t="s">
        <v>37</v>
      </c>
      <c r="G53" s="6" t="s">
        <v>30</v>
      </c>
      <c r="H53" s="10" t="s">
        <v>73</v>
      </c>
      <c r="I53" s="10" t="s">
        <v>74</v>
      </c>
      <c r="J53" s="10" t="s">
        <v>33</v>
      </c>
      <c r="K53" s="8" t="s">
        <v>24</v>
      </c>
      <c r="L53" s="11" t="s">
        <v>34</v>
      </c>
      <c r="M53" s="10" t="s">
        <v>35</v>
      </c>
      <c r="N53" s="10" t="s">
        <v>36</v>
      </c>
      <c r="O53" s="10"/>
    </row>
    <row r="54" customFormat="false" ht="48" hidden="false" customHeight="true" outlineLevel="0" collapsed="false">
      <c r="A54" s="8" t="n">
        <v>47</v>
      </c>
      <c r="B54" s="7" t="n">
        <v>46289</v>
      </c>
      <c r="C54" s="8" t="str">
        <f aca="false">MID("日月火水木金土",WEEKDAY(B54),1)</f>
        <v>木</v>
      </c>
      <c r="D54" s="8" t="s">
        <v>29</v>
      </c>
      <c r="E54" s="9" t="n">
        <v>118</v>
      </c>
      <c r="F54" s="6" t="s">
        <v>85</v>
      </c>
      <c r="G54" s="6" t="s">
        <v>30</v>
      </c>
      <c r="H54" s="10" t="s">
        <v>31</v>
      </c>
      <c r="I54" s="10" t="s">
        <v>32</v>
      </c>
      <c r="J54" s="10" t="s">
        <v>33</v>
      </c>
      <c r="K54" s="8" t="s">
        <v>24</v>
      </c>
      <c r="L54" s="11" t="s">
        <v>34</v>
      </c>
      <c r="M54" s="10" t="s">
        <v>35</v>
      </c>
      <c r="N54" s="10" t="s">
        <v>36</v>
      </c>
      <c r="O54" s="10"/>
    </row>
    <row r="55" customFormat="false" ht="48" hidden="false" customHeight="true" outlineLevel="0" collapsed="false">
      <c r="A55" s="8" t="n">
        <v>48</v>
      </c>
      <c r="B55" s="7" t="n">
        <v>46294</v>
      </c>
      <c r="C55" s="8" t="str">
        <f aca="false">MID("日月火水木金土",WEEKDAY(B55),1)</f>
        <v>火</v>
      </c>
      <c r="D55" s="8" t="s">
        <v>48</v>
      </c>
      <c r="E55" s="9" t="n">
        <v>121</v>
      </c>
      <c r="F55" s="6" t="s">
        <v>59</v>
      </c>
      <c r="G55" s="6" t="s">
        <v>20</v>
      </c>
      <c r="H55" s="10" t="s">
        <v>54</v>
      </c>
      <c r="I55" s="11" t="s">
        <v>34</v>
      </c>
      <c r="J55" s="10" t="s">
        <v>98</v>
      </c>
      <c r="K55" s="8" t="s">
        <v>57</v>
      </c>
      <c r="L55" s="10" t="s">
        <v>58</v>
      </c>
      <c r="M55" s="10" t="s">
        <v>26</v>
      </c>
      <c r="N55" s="10" t="s">
        <v>27</v>
      </c>
      <c r="O55" s="10" t="s">
        <v>105</v>
      </c>
    </row>
  </sheetData>
  <autoFilter ref="A4:O55"/>
  <mergeCells count="3">
    <mergeCell ref="A5:O5"/>
    <mergeCell ref="A31:O31"/>
    <mergeCell ref="A45:O45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4" t="s">
        <v>8</v>
      </c>
      <c r="B4" s="4" t="s">
        <v>108</v>
      </c>
      <c r="C4" s="4" t="s">
        <v>14</v>
      </c>
      <c r="D4" s="4" t="s">
        <v>109</v>
      </c>
    </row>
    <row r="5" customFormat="false" ht="135" hidden="false" customHeight="true" outlineLevel="0" collapsed="false">
      <c r="A5" s="12" t="s">
        <v>30</v>
      </c>
      <c r="B5" s="13" t="s">
        <v>110</v>
      </c>
      <c r="C5" s="14" t="s">
        <v>111</v>
      </c>
      <c r="D5" s="14" t="s">
        <v>112</v>
      </c>
    </row>
    <row r="6" customFormat="false" ht="135" hidden="false" customHeight="true" outlineLevel="0" collapsed="false">
      <c r="A6" s="12" t="s">
        <v>20</v>
      </c>
      <c r="B6" s="13" t="s">
        <v>113</v>
      </c>
      <c r="C6" s="14" t="s">
        <v>114</v>
      </c>
      <c r="D6" s="14" t="s">
        <v>115</v>
      </c>
    </row>
    <row r="7" customFormat="false" ht="75" hidden="false" customHeight="true" outlineLevel="0" collapsed="false">
      <c r="A7" s="12" t="s">
        <v>66</v>
      </c>
      <c r="B7" s="13" t="s">
        <v>116</v>
      </c>
      <c r="C7" s="14" t="s">
        <v>117</v>
      </c>
      <c r="D7" s="14" t="s">
        <v>118</v>
      </c>
    </row>
    <row r="8" customFormat="false" ht="105" hidden="false" customHeight="true" outlineLevel="0" collapsed="false">
      <c r="A8" s="12" t="s">
        <v>38</v>
      </c>
      <c r="B8" s="13" t="s">
        <v>119</v>
      </c>
      <c r="C8" s="14" t="s">
        <v>120</v>
      </c>
      <c r="D8" s="14" t="s">
        <v>121</v>
      </c>
    </row>
    <row r="9" customFormat="false" ht="75" hidden="false" customHeight="true" outlineLevel="0" collapsed="false">
      <c r="A9" s="12" t="s">
        <v>99</v>
      </c>
      <c r="B9" s="13" t="s">
        <v>122</v>
      </c>
      <c r="C9" s="14" t="s">
        <v>123</v>
      </c>
      <c r="D9" s="14" t="s">
        <v>124</v>
      </c>
    </row>
    <row r="10" customFormat="false" ht="105" hidden="false" customHeight="true" outlineLevel="0" collapsed="false">
      <c r="A10" s="15" t="s">
        <v>125</v>
      </c>
      <c r="B10" s="16" t="s">
        <v>126</v>
      </c>
      <c r="C10" s="17" t="s">
        <v>127</v>
      </c>
      <c r="D10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10" min="6" style="0" width="8"/>
  </cols>
  <sheetData>
    <row r="1" customFormat="false" ht="19.4" hidden="false" customHeight="false" outlineLevel="0" collapsed="false">
      <c r="A1" s="1" t="s">
        <v>129</v>
      </c>
    </row>
    <row r="3" customFormat="false" ht="15" hidden="false" customHeight="false" outlineLevel="0" collapsed="false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  <c r="H3" s="4" t="s">
        <v>137</v>
      </c>
      <c r="I3" s="4" t="s">
        <v>138</v>
      </c>
      <c r="J3" s="4" t="s">
        <v>139</v>
      </c>
    </row>
    <row r="4" customFormat="false" ht="15" hidden="false" customHeight="false" outlineLevel="0" collapsed="false">
      <c r="A4" s="18" t="s">
        <v>140</v>
      </c>
      <c r="B4" s="19" t="n">
        <v>22</v>
      </c>
      <c r="C4" s="18" t="n">
        <f aca="false">SUMPRODUCT((現場確認日一覧!$B$5:$B$55&gt;=DATE(2026,7,1))*(現場確認日一覧!$B$5:$B$55&lt;DATE(2026,8,1))/COUNTIF(現場確認日一覧!$B$5:$B$55,現場確認日一覧!$B$5:$B$55&amp;""))</f>
        <v>13</v>
      </c>
      <c r="D4" s="20" t="n">
        <f aca="false">IF(B4=0,0,C4/B4)</f>
        <v>0.590909090909091</v>
      </c>
      <c r="E4" s="18" t="n">
        <f aca="false">COUNTIFS(現場確認日一覧!$B$5:$B$55,"&gt;="&amp;DATE(2026,7,1),現場確認日一覧!$B$5:$B$55,"&lt;"&amp;DATE(2026,8,1))</f>
        <v>25</v>
      </c>
      <c r="F4" s="18" t="n">
        <f aca="false">COUNTIFS(現場確認日一覧!$B$5:$B$55,"&gt;="&amp;DATE(2026,7,1),現場確認日一覧!$B$5:$B$55,"&lt;"&amp;DATE(2026,8,1),現場確認日一覧!$G$5:$G$55,"A")</f>
        <v>9</v>
      </c>
      <c r="G4" s="18" t="n">
        <f aca="false">COUNTIFS(現場確認日一覧!$B$5:$B$55,"&gt;="&amp;DATE(2026,7,1),現場確認日一覧!$B$5:$B$55,"&lt;"&amp;DATE(2026,8,1),現場確認日一覧!$G$5:$G$55,"B")</f>
        <v>11</v>
      </c>
      <c r="H4" s="18" t="n">
        <f aca="false">COUNTIFS(現場確認日一覧!$B$5:$B$55,"&gt;="&amp;DATE(2026,7,1),現場確認日一覧!$B$5:$B$55,"&lt;"&amp;DATE(2026,8,1),現場確認日一覧!$G$5:$G$55,"C")</f>
        <v>2</v>
      </c>
      <c r="I4" s="18" t="n">
        <f aca="false">COUNTIFS(現場確認日一覧!$B$5:$B$55,"&gt;="&amp;DATE(2026,7,1),現場確認日一覧!$B$5:$B$55,"&lt;"&amp;DATE(2026,8,1),現場確認日一覧!$G$5:$G$55,"D")</f>
        <v>3</v>
      </c>
      <c r="J4" s="18" t="n">
        <f aca="false">COUNTIFS(現場確認日一覧!$B$5:$B$55,"&gt;="&amp;DATE(2026,7,1),現場確認日一覧!$B$5:$B$55,"&lt;"&amp;DATE(2026,8,1),現場確認日一覧!$G$5:$G$55,"E")</f>
        <v>0</v>
      </c>
    </row>
    <row r="5" customFormat="false" ht="15" hidden="false" customHeight="false" outlineLevel="0" collapsed="false">
      <c r="A5" s="18" t="s">
        <v>141</v>
      </c>
      <c r="B5" s="19" t="n">
        <v>20</v>
      </c>
      <c r="C5" s="18" t="n">
        <f aca="false">SUMPRODUCT((現場確認日一覧!$B$5:$B$55&gt;=DATE(2026,8,1))*(現場確認日一覧!$B$5:$B$55&lt;DATE(2026,9,1))/COUNTIF(現場確認日一覧!$B$5:$B$55,現場確認日一覧!$B$5:$B$55&amp;""))</f>
        <v>7</v>
      </c>
      <c r="D5" s="20" t="n">
        <f aca="false">IF(B5=0,0,C5/B5)</f>
        <v>0.35</v>
      </c>
      <c r="E5" s="18" t="n">
        <f aca="false">COUNTIFS(現場確認日一覧!$B$5:$B$55,"&gt;="&amp;DATE(2026,8,1),現場確認日一覧!$B$5:$B$55,"&lt;"&amp;DATE(2026,9,1))</f>
        <v>13</v>
      </c>
      <c r="F5" s="18" t="n">
        <f aca="false">COUNTIFS(現場確認日一覧!$B$5:$B$55,"&gt;="&amp;DATE(2026,8,1),現場確認日一覧!$B$5:$B$55,"&lt;"&amp;DATE(2026,9,1),現場確認日一覧!$G$5:$G$55,"A")</f>
        <v>8</v>
      </c>
      <c r="G5" s="18" t="n">
        <f aca="false">COUNTIFS(現場確認日一覧!$B$5:$B$55,"&gt;="&amp;DATE(2026,8,1),現場確認日一覧!$B$5:$B$55,"&lt;"&amp;DATE(2026,9,1),現場確認日一覧!$G$5:$G$55,"B")</f>
        <v>5</v>
      </c>
      <c r="H5" s="18" t="n">
        <f aca="false">COUNTIFS(現場確認日一覧!$B$5:$B$55,"&gt;="&amp;DATE(2026,8,1),現場確認日一覧!$B$5:$B$55,"&lt;"&amp;DATE(2026,9,1),現場確認日一覧!$G$5:$G$55,"C")</f>
        <v>0</v>
      </c>
      <c r="I5" s="18" t="n">
        <f aca="false">COUNTIFS(現場確認日一覧!$B$5:$B$55,"&gt;="&amp;DATE(2026,8,1),現場確認日一覧!$B$5:$B$55,"&lt;"&amp;DATE(2026,9,1),現場確認日一覧!$G$5:$G$55,"D")</f>
        <v>0</v>
      </c>
      <c r="J5" s="18" t="n">
        <f aca="false">COUNTIFS(現場確認日一覧!$B$5:$B$55,"&gt;="&amp;DATE(2026,8,1),現場確認日一覧!$B$5:$B$55,"&lt;"&amp;DATE(2026,9,1),現場確認日一覧!$G$5:$G$55,"E")</f>
        <v>0</v>
      </c>
    </row>
    <row r="6" customFormat="false" ht="15" hidden="false" customHeight="false" outlineLevel="0" collapsed="false">
      <c r="A6" s="18" t="s">
        <v>142</v>
      </c>
      <c r="B6" s="19" t="n">
        <v>19</v>
      </c>
      <c r="C6" s="18" t="n">
        <f aca="false">SUMPRODUCT((現場確認日一覧!$B$5:$B$55&gt;=DATE(2026,9,1))*(現場確認日一覧!$B$5:$B$55&lt;DATE(2026,10,1))/COUNTIF(現場確認日一覧!$B$5:$B$55,現場確認日一覧!$B$5:$B$55&amp;""))</f>
        <v>6</v>
      </c>
      <c r="D6" s="20" t="n">
        <f aca="false">IF(B6=0,0,C6/B6)</f>
        <v>0.315789473684211</v>
      </c>
      <c r="E6" s="18" t="n">
        <f aca="false">COUNTIFS(現場確認日一覧!$B$5:$B$55,"&gt;="&amp;DATE(2026,9,1),現場確認日一覧!$B$5:$B$55,"&lt;"&amp;DATE(2026,10,1))</f>
        <v>10</v>
      </c>
      <c r="F6" s="18" t="n">
        <f aca="false">COUNTIFS(現場確認日一覧!$B$5:$B$55,"&gt;="&amp;DATE(2026,9,1),現場確認日一覧!$B$5:$B$55,"&lt;"&amp;DATE(2026,10,1),現場確認日一覧!$G$5:$G$55,"A")</f>
        <v>6</v>
      </c>
      <c r="G6" s="18" t="n">
        <f aca="false">COUNTIFS(現場確認日一覧!$B$5:$B$55,"&gt;="&amp;DATE(2026,9,1),現場確認日一覧!$B$5:$B$55,"&lt;"&amp;DATE(2026,10,1),現場確認日一覧!$G$5:$G$55,"B")</f>
        <v>3</v>
      </c>
      <c r="H6" s="18" t="n">
        <f aca="false">COUNTIFS(現場確認日一覧!$B$5:$B$55,"&gt;="&amp;DATE(2026,9,1),現場確認日一覧!$B$5:$B$55,"&lt;"&amp;DATE(2026,10,1),現場確認日一覧!$G$5:$G$55,"C")</f>
        <v>0</v>
      </c>
      <c r="I6" s="18" t="n">
        <f aca="false">COUNTIFS(現場確認日一覧!$B$5:$B$55,"&gt;="&amp;DATE(2026,9,1),現場確認日一覧!$B$5:$B$55,"&lt;"&amp;DATE(2026,10,1),現場確認日一覧!$G$5:$G$55,"D")</f>
        <v>0</v>
      </c>
      <c r="J6" s="18" t="n">
        <f aca="false">COUNTIFS(現場確認日一覧!$B$5:$B$55,"&gt;="&amp;DATE(2026,9,1),現場確認日一覧!$B$5:$B$55,"&lt;"&amp;DATE(2026,10,1),現場確認日一覧!$G$5:$G$55,"E")</f>
        <v>1</v>
      </c>
    </row>
    <row r="7" customFormat="false" ht="15" hidden="false" customHeight="false" outlineLevel="0" collapsed="false">
      <c r="A7" s="15" t="s">
        <v>143</v>
      </c>
      <c r="B7" s="15" t="n">
        <f aca="false">SUM(B4:B6)</f>
        <v>61</v>
      </c>
      <c r="C7" s="15" t="n">
        <f aca="false">SUM(C4:C6)</f>
        <v>26</v>
      </c>
      <c r="D7" s="21" t="n">
        <f aca="false">IF(B7=0,0,C7/B7)</f>
        <v>0.426229508196721</v>
      </c>
      <c r="E7" s="15" t="n">
        <f aca="false">SUM(E4:E6)</f>
        <v>48</v>
      </c>
      <c r="F7" s="15" t="n">
        <f aca="false">SUM(F4:F6)</f>
        <v>23</v>
      </c>
      <c r="G7" s="15" t="n">
        <f aca="false">SUM(G4:G6)</f>
        <v>19</v>
      </c>
      <c r="H7" s="15" t="n">
        <f aca="false">SUM(H4:H6)</f>
        <v>2</v>
      </c>
      <c r="I7" s="15" t="n">
        <f aca="false">SUM(I4:I6)</f>
        <v>3</v>
      </c>
      <c r="J7" s="15" t="n">
        <f aca="false">SUM(J4:J6)</f>
        <v>1</v>
      </c>
    </row>
    <row r="9" customFormat="false" ht="15" hidden="false" customHeight="false" outlineLevel="0" collapsed="false">
      <c r="A9" s="2" t="s">
        <v>144</v>
      </c>
    </row>
    <row r="10" customFormat="false" ht="15" hidden="false" customHeight="false" outlineLevel="0" collapsed="false">
      <c r="A10" s="2" t="s">
        <v>145</v>
      </c>
    </row>
    <row r="11" customFormat="false" ht="15" hidden="false" customHeight="false" outlineLevel="0" collapsed="false">
      <c r="A11" s="2" t="s">
        <v>146</v>
      </c>
    </row>
    <row r="12" customFormat="false" ht="15" hidden="false" customHeight="false" outlineLevel="0" collapsed="false">
      <c r="A12" s="2" t="s">
        <v>147</v>
      </c>
    </row>
    <row r="13" customFormat="false" ht="15" hidden="false" customHeight="false" outlineLevel="0" collapsed="false">
      <c r="A13" s="2" t="s">
        <v>148</v>
      </c>
    </row>
    <row r="14" customFormat="false" ht="15" hidden="false" customHeight="false" outlineLevel="0" collapsed="false">
      <c r="A14" s="2" t="s">
        <v>149</v>
      </c>
    </row>
    <row r="15" customFormat="false" ht="15" hidden="false" customHeight="false" outlineLevel="0" collapsed="false">
      <c r="A15" s="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22" t="s">
        <v>151</v>
      </c>
    </row>
    <row r="3" customFormat="false" ht="15" hidden="false" customHeight="false" outlineLevel="0" collapsed="false">
      <c r="A3" s="4" t="s">
        <v>3</v>
      </c>
      <c r="B3" s="4" t="s">
        <v>6</v>
      </c>
      <c r="C3" s="4" t="s">
        <v>7</v>
      </c>
      <c r="D3" s="4" t="s">
        <v>9</v>
      </c>
      <c r="E3" s="4" t="s">
        <v>11</v>
      </c>
      <c r="F3" s="4" t="s">
        <v>12</v>
      </c>
      <c r="G3" s="4" t="s">
        <v>13</v>
      </c>
      <c r="H3" s="4" t="s">
        <v>152</v>
      </c>
    </row>
    <row r="4" customFormat="false" ht="30" hidden="false" customHeight="true" outlineLevel="0" collapsed="false">
      <c r="A4" s="7" t="n">
        <v>46226</v>
      </c>
      <c r="B4" s="9" t="n">
        <v>77</v>
      </c>
      <c r="C4" s="6" t="s">
        <v>45</v>
      </c>
      <c r="D4" s="23" t="s">
        <v>153</v>
      </c>
      <c r="E4" s="23" t="s">
        <v>154</v>
      </c>
      <c r="F4" s="23" t="s">
        <v>24</v>
      </c>
      <c r="G4" s="23" t="s">
        <v>25</v>
      </c>
      <c r="H4" s="23" t="s">
        <v>155</v>
      </c>
    </row>
    <row r="5" customFormat="false" ht="30" hidden="false" customHeight="true" outlineLevel="0" collapsed="false">
      <c r="A5" s="7" t="n">
        <v>46260</v>
      </c>
      <c r="B5" s="9" t="n">
        <v>100</v>
      </c>
      <c r="C5" s="6" t="s">
        <v>81</v>
      </c>
      <c r="D5" s="23" t="s">
        <v>92</v>
      </c>
      <c r="E5" s="23" t="s">
        <v>156</v>
      </c>
      <c r="F5" s="23" t="s">
        <v>24</v>
      </c>
      <c r="G5" s="24" t="s">
        <v>34</v>
      </c>
      <c r="H5" s="23" t="s">
        <v>157</v>
      </c>
    </row>
    <row r="6" customFormat="false" ht="30" hidden="false" customHeight="true" outlineLevel="0" collapsed="false">
      <c r="A6" s="7" t="n">
        <v>46274</v>
      </c>
      <c r="B6" s="9" t="n">
        <v>110</v>
      </c>
      <c r="C6" s="6" t="s">
        <v>45</v>
      </c>
      <c r="D6" s="23" t="s">
        <v>153</v>
      </c>
      <c r="E6" s="23" t="s">
        <v>158</v>
      </c>
      <c r="F6" s="23" t="s">
        <v>24</v>
      </c>
      <c r="G6" s="23" t="s">
        <v>25</v>
      </c>
      <c r="H6" s="23" t="s">
        <v>155</v>
      </c>
    </row>
    <row r="7" customFormat="false" ht="30" hidden="false" customHeight="true" outlineLevel="0" collapsed="false">
      <c r="A7" s="7" t="n">
        <v>46294</v>
      </c>
      <c r="B7" s="9" t="n">
        <v>121</v>
      </c>
      <c r="C7" s="6" t="s">
        <v>159</v>
      </c>
      <c r="D7" s="23" t="s">
        <v>160</v>
      </c>
      <c r="E7" s="23" t="s">
        <v>161</v>
      </c>
      <c r="F7" s="23" t="s">
        <v>57</v>
      </c>
      <c r="G7" s="23" t="s">
        <v>162</v>
      </c>
      <c r="H7" s="2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2026-10-02T07:20:49Z</dcterms:created>
  <dc:creator>openpyxl</dc:creator>
  <dc:description/>
  <dc:language>en-US</dc:language>
  <cp:lastModifiedBy/>
  <dcterms:modified xsi:type="dcterms:W3CDTF">2026-10-02T07:20:49Z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