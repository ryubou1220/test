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目次" sheetId="1" state="visible" r:id="rId3"/>
    <sheet name="条文別整理表" sheetId="2" state="visible" r:id="rId4"/>
    <sheet name="条文別集計" sheetId="3" state="visible" r:id="rId5"/>
    <sheet name="条文マスタ" sheetId="4" state="visible" r:id="rId6"/>
  </sheets>
  <definedNames>
    <definedName function="false" hidden="false" localSheetId="1" name="_xlnm.Print_Area" vbProcedure="false">条文別整理表!$A$1:$L$139</definedName>
    <definedName function="false" hidden="false" localSheetId="1" name="_xlnm.Print_Titles" vbProcedure="false">条文別整理表!$8:$8</definedName>
    <definedName function="false" hidden="false" localSheetId="0" name="_xlnm.Print_Area" vbProcedure="false">目次!$A$1:$H$44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<sst xmlns="http://schemas.openxmlformats.org/spreadsheetml/2006/main" count="833" uniqueCount="330">
  <si>
    <t xml:space="preserve">現場技術業務　検査受検資料　目次</t>
  </si>
  <si>
    <r>
      <rPr>
        <b val="true"/>
        <sz val="13"/>
        <rFont val="WenQuanYi Zen Hei"/>
        <family val="2"/>
      </rPr>
      <t xml:space="preserve">令和</t>
    </r>
    <r>
      <rPr>
        <b val="true"/>
        <sz val="13"/>
        <rFont val="ＭＳ Ｐ明朝"/>
        <family val="0"/>
        <charset val="1"/>
      </rPr>
      <t xml:space="preserve">8</t>
    </r>
    <r>
      <rPr>
        <b val="true"/>
        <sz val="13"/>
        <rFont val="WenQuanYi Zen Hei"/>
        <family val="2"/>
      </rPr>
      <t xml:space="preserve">年</t>
    </r>
    <r>
      <rPr>
        <b val="true"/>
        <sz val="13"/>
        <rFont val="ＭＳ Ｐ明朝"/>
        <family val="0"/>
        <charset val="1"/>
      </rPr>
      <t xml:space="preserve">7</t>
    </r>
    <r>
      <rPr>
        <b val="true"/>
        <sz val="13"/>
        <rFont val="WenQuanYi Zen Hei"/>
        <family val="2"/>
      </rPr>
      <t xml:space="preserve">月分</t>
    </r>
  </si>
  <si>
    <t xml:space="preserve">業務番号</t>
  </si>
  <si>
    <r>
      <rPr>
        <sz val="10"/>
        <rFont val="WenQuanYi Zen Hei"/>
        <family val="2"/>
      </rPr>
      <t xml:space="preserve">丹後７府民協働第１４９９の２号の２の１他</t>
    </r>
    <r>
      <rPr>
        <sz val="10"/>
        <rFont val="ＭＳ Ｐ明朝"/>
        <family val="0"/>
        <charset val="1"/>
      </rPr>
      <t xml:space="preserve">1</t>
    </r>
    <r>
      <rPr>
        <sz val="10"/>
        <rFont val="WenQuanYi Zen Hei"/>
        <family val="2"/>
      </rPr>
      <t xml:space="preserve">件</t>
    </r>
  </si>
  <si>
    <t xml:space="preserve">業務名</t>
  </si>
  <si>
    <t xml:space="preserve">管内一円 府民協働型インフラ保全業務委託 他１件</t>
  </si>
  <si>
    <t xml:space="preserve">対象期間</t>
  </si>
  <si>
    <r>
      <rPr>
        <sz val="10"/>
        <rFont val="WenQuanYi Zen Hei"/>
        <family val="2"/>
      </rPr>
      <t xml:space="preserve">令和</t>
    </r>
    <r>
      <rPr>
        <sz val="10"/>
        <rFont val="ＭＳ Ｐ明朝"/>
        <family val="0"/>
        <charset val="1"/>
      </rPr>
      <t xml:space="preserve">8</t>
    </r>
    <r>
      <rPr>
        <sz val="10"/>
        <rFont val="WenQuanYi Zen Hei"/>
        <family val="2"/>
      </rPr>
      <t xml:space="preserve">年</t>
    </r>
    <r>
      <rPr>
        <sz val="10"/>
        <rFont val="ＭＳ Ｐ明朝"/>
        <family val="0"/>
        <charset val="1"/>
      </rPr>
      <t xml:space="preserve">7</t>
    </r>
    <r>
      <rPr>
        <sz val="10"/>
        <rFont val="WenQuanYi Zen Hei"/>
        <family val="2"/>
      </rPr>
      <t xml:space="preserve">月</t>
    </r>
    <r>
      <rPr>
        <sz val="10"/>
        <rFont val="ＭＳ Ｐ明朝"/>
        <family val="0"/>
        <charset val="1"/>
      </rPr>
      <t xml:space="preserve">1</t>
    </r>
    <r>
      <rPr>
        <sz val="10"/>
        <rFont val="WenQuanYi Zen Hei"/>
        <family val="2"/>
      </rPr>
      <t xml:space="preserve">日（水）～ 令和</t>
    </r>
    <r>
      <rPr>
        <sz val="10"/>
        <rFont val="ＭＳ Ｐ明朝"/>
        <family val="0"/>
        <charset val="1"/>
      </rPr>
      <t xml:space="preserve">8</t>
    </r>
    <r>
      <rPr>
        <sz val="10"/>
        <rFont val="WenQuanYi Zen Hei"/>
        <family val="2"/>
      </rPr>
      <t xml:space="preserve">年</t>
    </r>
    <r>
      <rPr>
        <sz val="10"/>
        <rFont val="ＭＳ Ｐ明朝"/>
        <family val="0"/>
        <charset val="1"/>
      </rPr>
      <t xml:space="preserve">7</t>
    </r>
    <r>
      <rPr>
        <sz val="10"/>
        <rFont val="WenQuanYi Zen Hei"/>
        <family val="2"/>
      </rPr>
      <t xml:space="preserve">月</t>
    </r>
    <r>
      <rPr>
        <sz val="10"/>
        <rFont val="ＭＳ Ｐ明朝"/>
        <family val="0"/>
        <charset val="1"/>
      </rPr>
      <t xml:space="preserve">31</t>
    </r>
    <r>
      <rPr>
        <sz val="10"/>
        <rFont val="WenQuanYi Zen Hei"/>
        <family val="2"/>
      </rPr>
      <t xml:space="preserve">日（金）　履行日数 </t>
    </r>
    <r>
      <rPr>
        <sz val="10"/>
        <rFont val="ＭＳ Ｐ明朝"/>
        <family val="0"/>
        <charset val="1"/>
      </rPr>
      <t xml:space="preserve">22</t>
    </r>
    <r>
      <rPr>
        <sz val="10"/>
        <rFont val="WenQuanYi Zen Hei"/>
        <family val="2"/>
      </rPr>
      <t xml:space="preserve">日（業務処理結果報告書 №</t>
    </r>
    <r>
      <rPr>
        <sz val="10"/>
        <rFont val="ＭＳ Ｐ明朝"/>
        <family val="0"/>
        <charset val="1"/>
      </rPr>
      <t xml:space="preserve">62</t>
    </r>
    <r>
      <rPr>
        <sz val="10"/>
        <rFont val="WenQuanYi Zen Hei"/>
        <family val="2"/>
      </rPr>
      <t xml:space="preserve">～№</t>
    </r>
    <r>
      <rPr>
        <sz val="10"/>
        <rFont val="ＭＳ Ｐ明朝"/>
        <family val="0"/>
        <charset val="1"/>
      </rPr>
      <t xml:space="preserve">83</t>
    </r>
    <r>
      <rPr>
        <sz val="10"/>
        <rFont val="WenQuanYi Zen Hei"/>
        <family val="2"/>
      </rPr>
      <t xml:space="preserve">）</t>
    </r>
  </si>
  <si>
    <t xml:space="preserve">適用仕様書</t>
  </si>
  <si>
    <t xml:space="preserve">現場技術業務委託共通仕様書（京都府）及び 現場技術業務 特記仕様書</t>
  </si>
  <si>
    <t xml:space="preserve">１．資料構成</t>
  </si>
  <si>
    <t xml:space="preserve">No.</t>
  </si>
  <si>
    <t xml:space="preserve">資料名</t>
  </si>
  <si>
    <t xml:space="preserve">内容</t>
  </si>
  <si>
    <t xml:space="preserve">備考</t>
  </si>
  <si>
    <t xml:space="preserve">1</t>
  </si>
  <si>
    <t xml:space="preserve">目次</t>
  </si>
  <si>
    <t xml:space="preserve">本表</t>
  </si>
  <si>
    <t xml:space="preserve">2</t>
  </si>
  <si>
    <t xml:space="preserve">条文別整理表</t>
  </si>
  <si>
    <t xml:space="preserve">業務処理結果報告書の実施業務を共通仕様書の条文別に整理</t>
  </si>
  <si>
    <t xml:space="preserve">3</t>
  </si>
  <si>
    <t xml:space="preserve">条文別集計</t>
  </si>
  <si>
    <t xml:space="preserve">条文別・実施日別の件数集計</t>
  </si>
  <si>
    <t xml:space="preserve">4</t>
  </si>
  <si>
    <t xml:space="preserve">条文マスタ</t>
  </si>
  <si>
    <t xml:space="preserve">現場技術業務委託共通仕様書 条文一覧・要旨</t>
  </si>
  <si>
    <t xml:space="preserve">5</t>
  </si>
  <si>
    <t xml:space="preserve">業務処理結果報告書</t>
  </si>
  <si>
    <r>
      <rPr>
        <sz val="10"/>
        <rFont val="WenQuanYi Zen Hei"/>
        <family val="2"/>
      </rPr>
      <t xml:space="preserve">令和</t>
    </r>
    <r>
      <rPr>
        <sz val="10"/>
        <rFont val="ＭＳ Ｐ明朝"/>
        <family val="0"/>
        <charset val="1"/>
      </rPr>
      <t xml:space="preserve">8</t>
    </r>
    <r>
      <rPr>
        <sz val="10"/>
        <rFont val="WenQuanYi Zen Hei"/>
        <family val="2"/>
      </rPr>
      <t xml:space="preserve">年</t>
    </r>
    <r>
      <rPr>
        <sz val="10"/>
        <rFont val="ＭＳ Ｐ明朝"/>
        <family val="0"/>
        <charset val="1"/>
      </rPr>
      <t xml:space="preserve">7</t>
    </r>
    <r>
      <rPr>
        <sz val="10"/>
        <rFont val="WenQuanYi Zen Hei"/>
        <family val="2"/>
      </rPr>
      <t xml:space="preserve">月</t>
    </r>
    <r>
      <rPr>
        <sz val="10"/>
        <rFont val="ＭＳ Ｐ明朝"/>
        <family val="0"/>
        <charset val="1"/>
      </rPr>
      <t xml:space="preserve">1</t>
    </r>
    <r>
      <rPr>
        <sz val="10"/>
        <rFont val="WenQuanYi Zen Hei"/>
        <family val="2"/>
      </rPr>
      <t xml:space="preserve">日～</t>
    </r>
    <r>
      <rPr>
        <sz val="10"/>
        <rFont val="ＭＳ Ｐ明朝"/>
        <family val="0"/>
        <charset val="1"/>
      </rPr>
      <t xml:space="preserve">7</t>
    </r>
    <r>
      <rPr>
        <sz val="10"/>
        <rFont val="WenQuanYi Zen Hei"/>
        <family val="2"/>
      </rPr>
      <t xml:space="preserve">月</t>
    </r>
    <r>
      <rPr>
        <sz val="10"/>
        <rFont val="ＭＳ Ｐ明朝"/>
        <family val="0"/>
        <charset val="1"/>
      </rPr>
      <t xml:space="preserve">31</t>
    </r>
    <r>
      <rPr>
        <sz val="10"/>
        <rFont val="WenQuanYi Zen Hei"/>
        <family val="2"/>
      </rPr>
      <t xml:space="preserve">日（№</t>
    </r>
    <r>
      <rPr>
        <sz val="10"/>
        <rFont val="ＭＳ Ｐ明朝"/>
        <family val="0"/>
        <charset val="1"/>
      </rPr>
      <t xml:space="preserve">62</t>
    </r>
    <r>
      <rPr>
        <sz val="10"/>
        <rFont val="WenQuanYi Zen Hei"/>
        <family val="2"/>
      </rPr>
      <t xml:space="preserve">～№</t>
    </r>
    <r>
      <rPr>
        <sz val="10"/>
        <rFont val="ＭＳ Ｐ明朝"/>
        <family val="0"/>
        <charset val="1"/>
      </rPr>
      <t xml:space="preserve">83</t>
    </r>
    <r>
      <rPr>
        <sz val="10"/>
        <rFont val="WenQuanYi Zen Hei"/>
        <family val="2"/>
      </rPr>
      <t xml:space="preserve">、</t>
    </r>
    <r>
      <rPr>
        <sz val="10"/>
        <rFont val="ＭＳ Ｐ明朝"/>
        <family val="0"/>
        <charset val="1"/>
      </rPr>
      <t xml:space="preserve">22</t>
    </r>
    <r>
      <rPr>
        <sz val="10"/>
        <rFont val="WenQuanYi Zen Hei"/>
        <family val="2"/>
      </rPr>
      <t xml:space="preserve">日分）</t>
    </r>
  </si>
  <si>
    <t xml:space="preserve">別綴り（日報原本）</t>
  </si>
  <si>
    <t xml:space="preserve">２．条文別索引（条文別整理表）</t>
  </si>
  <si>
    <t xml:space="preserve">条文番号</t>
  </si>
  <si>
    <t xml:space="preserve">見出し</t>
  </si>
  <si>
    <t xml:space="preserve">件数</t>
  </si>
  <si>
    <t xml:space="preserve">実施日数</t>
  </si>
  <si>
    <t xml:space="preserve">実施日</t>
  </si>
  <si>
    <t xml:space="preserve">該当 業務処理結果報告書№</t>
  </si>
  <si>
    <t xml:space="preserve">整理表 頁</t>
  </si>
  <si>
    <t xml:space="preserve">第3条第3項(1)</t>
  </si>
  <si>
    <t xml:space="preserve">―</t>
  </si>
  <si>
    <t xml:space="preserve">当月該当なし</t>
  </si>
  <si>
    <t xml:space="preserve">第3条第3項(4)</t>
  </si>
  <si>
    <t xml:space="preserve">第3条第3項(5)</t>
  </si>
  <si>
    <t xml:space="preserve">7/7</t>
  </si>
  <si>
    <t xml:space="preserve">№66</t>
  </si>
  <si>
    <t xml:space="preserve">第3条第3項(6)</t>
  </si>
  <si>
    <r>
      <rPr>
        <sz val="10"/>
        <color rgb="FF000000"/>
        <rFont val="ＭＳ Ｐ明朝"/>
        <family val="0"/>
        <charset val="1"/>
      </rPr>
      <t xml:space="preserve">7/1</t>
    </r>
    <r>
      <rPr>
        <sz val="10"/>
        <color rgb="FF000000"/>
        <rFont val="WenQuanYi Zen Hei"/>
        <family val="2"/>
      </rPr>
      <t xml:space="preserve">、</t>
    </r>
    <r>
      <rPr>
        <sz val="10"/>
        <color rgb="FF000000"/>
        <rFont val="ＭＳ Ｐ明朝"/>
        <family val="0"/>
        <charset val="1"/>
      </rPr>
      <t xml:space="preserve">7/2</t>
    </r>
    <r>
      <rPr>
        <sz val="10"/>
        <color rgb="FF000000"/>
        <rFont val="WenQuanYi Zen Hei"/>
        <family val="2"/>
      </rPr>
      <t xml:space="preserve">、</t>
    </r>
    <r>
      <rPr>
        <sz val="10"/>
        <color rgb="FF000000"/>
        <rFont val="ＭＳ Ｐ明朝"/>
        <family val="0"/>
        <charset val="1"/>
      </rPr>
      <t xml:space="preserve">7/6</t>
    </r>
    <r>
      <rPr>
        <sz val="10"/>
        <color rgb="FF000000"/>
        <rFont val="WenQuanYi Zen Hei"/>
        <family val="2"/>
      </rPr>
      <t xml:space="preserve">、</t>
    </r>
    <r>
      <rPr>
        <sz val="10"/>
        <color rgb="FF000000"/>
        <rFont val="ＭＳ Ｐ明朝"/>
        <family val="0"/>
        <charset val="1"/>
      </rPr>
      <t xml:space="preserve">7/7</t>
    </r>
  </si>
  <si>
    <r>
      <rPr>
        <sz val="10"/>
        <color rgb="FF000000"/>
        <rFont val="ＭＳ Ｐ明朝"/>
        <family val="0"/>
        <charset val="1"/>
      </rPr>
      <t xml:space="preserve">№62</t>
    </r>
    <r>
      <rPr>
        <sz val="10"/>
        <color rgb="FF000000"/>
        <rFont val="WenQuanYi Zen Hei"/>
        <family val="2"/>
      </rPr>
      <t xml:space="preserve">、№</t>
    </r>
    <r>
      <rPr>
        <sz val="10"/>
        <color rgb="FF000000"/>
        <rFont val="ＭＳ Ｐ明朝"/>
        <family val="0"/>
        <charset val="1"/>
      </rPr>
      <t xml:space="preserve">63</t>
    </r>
    <r>
      <rPr>
        <sz val="10"/>
        <color rgb="FF000000"/>
        <rFont val="WenQuanYi Zen Hei"/>
        <family val="2"/>
      </rPr>
      <t xml:space="preserve">、№</t>
    </r>
    <r>
      <rPr>
        <sz val="10"/>
        <color rgb="FF000000"/>
        <rFont val="ＭＳ Ｐ明朝"/>
        <family val="0"/>
        <charset val="1"/>
      </rPr>
      <t xml:space="preserve">65</t>
    </r>
    <r>
      <rPr>
        <sz val="10"/>
        <color rgb="FF000000"/>
        <rFont val="WenQuanYi Zen Hei"/>
        <family val="2"/>
      </rPr>
      <t xml:space="preserve">、№</t>
    </r>
    <r>
      <rPr>
        <sz val="10"/>
        <color rgb="FF000000"/>
        <rFont val="ＭＳ Ｐ明朝"/>
        <family val="0"/>
        <charset val="1"/>
      </rPr>
      <t xml:space="preserve">66</t>
    </r>
  </si>
  <si>
    <t xml:space="preserve">第3条第4項</t>
  </si>
  <si>
    <t xml:space="preserve">第5条</t>
  </si>
  <si>
    <r>
      <rPr>
        <sz val="10"/>
        <color rgb="FF000000"/>
        <rFont val="WenQuanYi Zen Hei"/>
        <family val="2"/>
      </rPr>
      <t xml:space="preserve">全履行日（</t>
    </r>
    <r>
      <rPr>
        <sz val="10"/>
        <color rgb="FF000000"/>
        <rFont val="ＭＳ Ｐ明朝"/>
        <family val="0"/>
        <charset val="1"/>
      </rPr>
      <t xml:space="preserve">22</t>
    </r>
    <r>
      <rPr>
        <sz val="10"/>
        <color rgb="FF000000"/>
        <rFont val="WenQuanYi Zen Hei"/>
        <family val="2"/>
      </rPr>
      <t xml:space="preserve">日）</t>
    </r>
  </si>
  <si>
    <r>
      <rPr>
        <sz val="10"/>
        <color rgb="FF000000"/>
        <rFont val="ＭＳ Ｐ明朝"/>
        <family val="0"/>
        <charset val="1"/>
      </rPr>
      <t xml:space="preserve">№62</t>
    </r>
    <r>
      <rPr>
        <sz val="10"/>
        <color rgb="FF000000"/>
        <rFont val="WenQuanYi Zen Hei"/>
        <family val="2"/>
      </rPr>
      <t xml:space="preserve">～№</t>
    </r>
    <r>
      <rPr>
        <sz val="10"/>
        <color rgb="FF000000"/>
        <rFont val="ＭＳ Ｐ明朝"/>
        <family val="0"/>
        <charset val="1"/>
      </rPr>
      <t xml:space="preserve">83</t>
    </r>
  </si>
  <si>
    <t xml:space="preserve">第6条</t>
  </si>
  <si>
    <t xml:space="preserve">第7条</t>
  </si>
  <si>
    <r>
      <rPr>
        <sz val="10"/>
        <color rgb="FF000000"/>
        <rFont val="ＭＳ Ｐ明朝"/>
        <family val="0"/>
        <charset val="1"/>
      </rPr>
      <t xml:space="preserve">7/21</t>
    </r>
    <r>
      <rPr>
        <sz val="10"/>
        <color rgb="FF000000"/>
        <rFont val="WenQuanYi Zen Hei"/>
        <family val="2"/>
      </rPr>
      <t xml:space="preserve">、</t>
    </r>
    <r>
      <rPr>
        <sz val="10"/>
        <color rgb="FF000000"/>
        <rFont val="ＭＳ Ｐ明朝"/>
        <family val="0"/>
        <charset val="1"/>
      </rPr>
      <t xml:space="preserve">7/23</t>
    </r>
  </si>
  <si>
    <r>
      <rPr>
        <sz val="10"/>
        <color rgb="FF000000"/>
        <rFont val="ＭＳ Ｐ明朝"/>
        <family val="0"/>
        <charset val="1"/>
      </rPr>
      <t xml:space="preserve">№75</t>
    </r>
    <r>
      <rPr>
        <sz val="10"/>
        <color rgb="FF000000"/>
        <rFont val="WenQuanYi Zen Hei"/>
        <family val="2"/>
      </rPr>
      <t xml:space="preserve">、№</t>
    </r>
    <r>
      <rPr>
        <sz val="10"/>
        <color rgb="FF000000"/>
        <rFont val="ＭＳ Ｐ明朝"/>
        <family val="0"/>
        <charset val="1"/>
      </rPr>
      <t xml:space="preserve">77</t>
    </r>
  </si>
  <si>
    <t xml:space="preserve">第8条</t>
  </si>
  <si>
    <r>
      <rPr>
        <sz val="10"/>
        <color rgb="FF000000"/>
        <rFont val="ＭＳ Ｐ明朝"/>
        <family val="0"/>
        <charset val="1"/>
      </rPr>
      <t xml:space="preserve">7/7</t>
    </r>
    <r>
      <rPr>
        <sz val="10"/>
        <color rgb="FF000000"/>
        <rFont val="WenQuanYi Zen Hei"/>
        <family val="2"/>
      </rPr>
      <t xml:space="preserve">、</t>
    </r>
    <r>
      <rPr>
        <sz val="10"/>
        <color rgb="FF000000"/>
        <rFont val="ＭＳ Ｐ明朝"/>
        <family val="0"/>
        <charset val="1"/>
      </rPr>
      <t xml:space="preserve">7/8</t>
    </r>
    <r>
      <rPr>
        <sz val="10"/>
        <color rgb="FF000000"/>
        <rFont val="WenQuanYi Zen Hei"/>
        <family val="2"/>
      </rPr>
      <t xml:space="preserve">、</t>
    </r>
    <r>
      <rPr>
        <sz val="10"/>
        <color rgb="FF000000"/>
        <rFont val="ＭＳ Ｐ明朝"/>
        <family val="0"/>
        <charset val="1"/>
      </rPr>
      <t xml:space="preserve">7/16</t>
    </r>
    <r>
      <rPr>
        <sz val="10"/>
        <color rgb="FF000000"/>
        <rFont val="WenQuanYi Zen Hei"/>
        <family val="2"/>
      </rPr>
      <t xml:space="preserve">、</t>
    </r>
    <r>
      <rPr>
        <sz val="10"/>
        <color rgb="FF000000"/>
        <rFont val="ＭＳ Ｐ明朝"/>
        <family val="0"/>
        <charset val="1"/>
      </rPr>
      <t xml:space="preserve">7/17</t>
    </r>
    <r>
      <rPr>
        <sz val="10"/>
        <color rgb="FF000000"/>
        <rFont val="WenQuanYi Zen Hei"/>
        <family val="2"/>
      </rPr>
      <t xml:space="preserve">、</t>
    </r>
    <r>
      <rPr>
        <sz val="10"/>
        <color rgb="FF000000"/>
        <rFont val="ＭＳ Ｐ明朝"/>
        <family val="0"/>
        <charset val="1"/>
      </rPr>
      <t xml:space="preserve">7/23</t>
    </r>
    <r>
      <rPr>
        <sz val="10"/>
        <color rgb="FF000000"/>
        <rFont val="WenQuanYi Zen Hei"/>
        <family val="2"/>
      </rPr>
      <t xml:space="preserve">、</t>
    </r>
    <r>
      <rPr>
        <sz val="10"/>
        <color rgb="FF000000"/>
        <rFont val="ＭＳ Ｐ明朝"/>
        <family val="0"/>
        <charset val="1"/>
      </rPr>
      <t xml:space="preserve">7/24</t>
    </r>
  </si>
  <si>
    <r>
      <rPr>
        <sz val="10"/>
        <color rgb="FF000000"/>
        <rFont val="ＭＳ Ｐ明朝"/>
        <family val="0"/>
        <charset val="1"/>
      </rPr>
      <t xml:space="preserve">№66</t>
    </r>
    <r>
      <rPr>
        <sz val="10"/>
        <color rgb="FF000000"/>
        <rFont val="WenQuanYi Zen Hei"/>
        <family val="2"/>
      </rPr>
      <t xml:space="preserve">、№</t>
    </r>
    <r>
      <rPr>
        <sz val="10"/>
        <color rgb="FF000000"/>
        <rFont val="ＭＳ Ｐ明朝"/>
        <family val="0"/>
        <charset val="1"/>
      </rPr>
      <t xml:space="preserve">67</t>
    </r>
    <r>
      <rPr>
        <sz val="10"/>
        <color rgb="FF000000"/>
        <rFont val="WenQuanYi Zen Hei"/>
        <family val="2"/>
      </rPr>
      <t xml:space="preserve">、№</t>
    </r>
    <r>
      <rPr>
        <sz val="10"/>
        <color rgb="FF000000"/>
        <rFont val="ＭＳ Ｐ明朝"/>
        <family val="0"/>
        <charset val="1"/>
      </rPr>
      <t xml:space="preserve">73</t>
    </r>
    <r>
      <rPr>
        <sz val="10"/>
        <color rgb="FF000000"/>
        <rFont val="WenQuanYi Zen Hei"/>
        <family val="2"/>
      </rPr>
      <t xml:space="preserve">、№</t>
    </r>
    <r>
      <rPr>
        <sz val="10"/>
        <color rgb="FF000000"/>
        <rFont val="ＭＳ Ｐ明朝"/>
        <family val="0"/>
        <charset val="1"/>
      </rPr>
      <t xml:space="preserve">74</t>
    </r>
    <r>
      <rPr>
        <sz val="10"/>
        <color rgb="FF000000"/>
        <rFont val="WenQuanYi Zen Hei"/>
        <family val="2"/>
      </rPr>
      <t xml:space="preserve">、№</t>
    </r>
    <r>
      <rPr>
        <sz val="10"/>
        <color rgb="FF000000"/>
        <rFont val="ＭＳ Ｐ明朝"/>
        <family val="0"/>
        <charset val="1"/>
      </rPr>
      <t xml:space="preserve">77</t>
    </r>
    <r>
      <rPr>
        <sz val="10"/>
        <color rgb="FF000000"/>
        <rFont val="WenQuanYi Zen Hei"/>
        <family val="2"/>
      </rPr>
      <t xml:space="preserve">、№</t>
    </r>
    <r>
      <rPr>
        <sz val="10"/>
        <color rgb="FF000000"/>
        <rFont val="ＭＳ Ｐ明朝"/>
        <family val="0"/>
        <charset val="1"/>
      </rPr>
      <t xml:space="preserve">78</t>
    </r>
  </si>
  <si>
    <t xml:space="preserve">第9条</t>
  </si>
  <si>
    <t xml:space="preserve">第10条</t>
  </si>
  <si>
    <t xml:space="preserve">第11条</t>
  </si>
  <si>
    <r>
      <rPr>
        <sz val="10"/>
        <color rgb="FF000000"/>
        <rFont val="ＭＳ Ｐ明朝"/>
        <family val="0"/>
        <charset val="1"/>
      </rPr>
      <t xml:space="preserve">7/1</t>
    </r>
    <r>
      <rPr>
        <sz val="10"/>
        <color rgb="FF000000"/>
        <rFont val="WenQuanYi Zen Hei"/>
        <family val="2"/>
      </rPr>
      <t xml:space="preserve">、</t>
    </r>
    <r>
      <rPr>
        <sz val="10"/>
        <color rgb="FF000000"/>
        <rFont val="ＭＳ Ｐ明朝"/>
        <family val="0"/>
        <charset val="1"/>
      </rPr>
      <t xml:space="preserve">7/10</t>
    </r>
    <r>
      <rPr>
        <sz val="10"/>
        <color rgb="FF000000"/>
        <rFont val="WenQuanYi Zen Hei"/>
        <family val="2"/>
      </rPr>
      <t xml:space="preserve">、</t>
    </r>
    <r>
      <rPr>
        <sz val="10"/>
        <color rgb="FF000000"/>
        <rFont val="ＭＳ Ｐ明朝"/>
        <family val="0"/>
        <charset val="1"/>
      </rPr>
      <t xml:space="preserve">7/22</t>
    </r>
  </si>
  <si>
    <r>
      <rPr>
        <sz val="10"/>
        <color rgb="FF000000"/>
        <rFont val="ＭＳ Ｐ明朝"/>
        <family val="0"/>
        <charset val="1"/>
      </rPr>
      <t xml:space="preserve">№62</t>
    </r>
    <r>
      <rPr>
        <sz val="10"/>
        <color rgb="FF000000"/>
        <rFont val="WenQuanYi Zen Hei"/>
        <family val="2"/>
      </rPr>
      <t xml:space="preserve">、№</t>
    </r>
    <r>
      <rPr>
        <sz val="10"/>
        <color rgb="FF000000"/>
        <rFont val="ＭＳ Ｐ明朝"/>
        <family val="0"/>
        <charset val="1"/>
      </rPr>
      <t xml:space="preserve">69</t>
    </r>
    <r>
      <rPr>
        <sz val="10"/>
        <color rgb="FF000000"/>
        <rFont val="WenQuanYi Zen Hei"/>
        <family val="2"/>
      </rPr>
      <t xml:space="preserve">、№</t>
    </r>
    <r>
      <rPr>
        <sz val="10"/>
        <color rgb="FF000000"/>
        <rFont val="ＭＳ Ｐ明朝"/>
        <family val="0"/>
        <charset val="1"/>
      </rPr>
      <t xml:space="preserve">76</t>
    </r>
  </si>
  <si>
    <t xml:space="preserve">第12条</t>
  </si>
  <si>
    <t xml:space="preserve">第13条</t>
  </si>
  <si>
    <t xml:space="preserve">第14条</t>
  </si>
  <si>
    <r>
      <rPr>
        <sz val="10"/>
        <color rgb="FF000000"/>
        <rFont val="ＭＳ Ｐ明朝"/>
        <family val="0"/>
        <charset val="1"/>
      </rPr>
      <t xml:space="preserve">7/23</t>
    </r>
    <r>
      <rPr>
        <sz val="10"/>
        <color rgb="FF000000"/>
        <rFont val="WenQuanYi Zen Hei"/>
        <family val="2"/>
      </rPr>
      <t xml:space="preserve">、</t>
    </r>
    <r>
      <rPr>
        <sz val="10"/>
        <color rgb="FF000000"/>
        <rFont val="ＭＳ Ｐ明朝"/>
        <family val="0"/>
        <charset val="1"/>
      </rPr>
      <t xml:space="preserve">7/30</t>
    </r>
    <r>
      <rPr>
        <sz val="10"/>
        <color rgb="FF000000"/>
        <rFont val="WenQuanYi Zen Hei"/>
        <family val="2"/>
      </rPr>
      <t xml:space="preserve">、</t>
    </r>
    <r>
      <rPr>
        <sz val="10"/>
        <color rgb="FF000000"/>
        <rFont val="ＭＳ Ｐ明朝"/>
        <family val="0"/>
        <charset val="1"/>
      </rPr>
      <t xml:space="preserve">7/31</t>
    </r>
  </si>
  <si>
    <r>
      <rPr>
        <sz val="10"/>
        <color rgb="FF000000"/>
        <rFont val="ＭＳ Ｐ明朝"/>
        <family val="0"/>
        <charset val="1"/>
      </rPr>
      <t xml:space="preserve">№77</t>
    </r>
    <r>
      <rPr>
        <sz val="10"/>
        <color rgb="FF000000"/>
        <rFont val="WenQuanYi Zen Hei"/>
        <family val="2"/>
      </rPr>
      <t xml:space="preserve">、№</t>
    </r>
    <r>
      <rPr>
        <sz val="10"/>
        <color rgb="FF000000"/>
        <rFont val="ＭＳ Ｐ明朝"/>
        <family val="0"/>
        <charset val="1"/>
      </rPr>
      <t xml:space="preserve">82</t>
    </r>
    <r>
      <rPr>
        <sz val="10"/>
        <color rgb="FF000000"/>
        <rFont val="WenQuanYi Zen Hei"/>
        <family val="2"/>
      </rPr>
      <t xml:space="preserve">、№</t>
    </r>
    <r>
      <rPr>
        <sz val="10"/>
        <color rgb="FF000000"/>
        <rFont val="ＭＳ Ｐ明朝"/>
        <family val="0"/>
        <charset val="1"/>
      </rPr>
      <t xml:space="preserve">83</t>
    </r>
  </si>
  <si>
    <t xml:space="preserve">第15条</t>
  </si>
  <si>
    <r>
      <rPr>
        <sz val="10"/>
        <color rgb="FF000000"/>
        <rFont val="ＭＳ Ｐ明朝"/>
        <family val="0"/>
        <charset val="1"/>
      </rPr>
      <t xml:space="preserve">7/9</t>
    </r>
    <r>
      <rPr>
        <sz val="10"/>
        <color rgb="FF000000"/>
        <rFont val="WenQuanYi Zen Hei"/>
        <family val="2"/>
      </rPr>
      <t xml:space="preserve">、</t>
    </r>
    <r>
      <rPr>
        <sz val="10"/>
        <color rgb="FF000000"/>
        <rFont val="ＭＳ Ｐ明朝"/>
        <family val="0"/>
        <charset val="1"/>
      </rPr>
      <t xml:space="preserve">7/15</t>
    </r>
    <r>
      <rPr>
        <sz val="10"/>
        <color rgb="FF000000"/>
        <rFont val="WenQuanYi Zen Hei"/>
        <family val="2"/>
      </rPr>
      <t xml:space="preserve">、</t>
    </r>
    <r>
      <rPr>
        <sz val="10"/>
        <color rgb="FF000000"/>
        <rFont val="ＭＳ Ｐ明朝"/>
        <family val="0"/>
        <charset val="1"/>
      </rPr>
      <t xml:space="preserve">7/16</t>
    </r>
    <r>
      <rPr>
        <sz val="10"/>
        <color rgb="FF000000"/>
        <rFont val="WenQuanYi Zen Hei"/>
        <family val="2"/>
      </rPr>
      <t xml:space="preserve">、</t>
    </r>
    <r>
      <rPr>
        <sz val="10"/>
        <color rgb="FF000000"/>
        <rFont val="ＭＳ Ｐ明朝"/>
        <family val="0"/>
        <charset val="1"/>
      </rPr>
      <t xml:space="preserve">7/17</t>
    </r>
    <r>
      <rPr>
        <sz val="10"/>
        <color rgb="FF000000"/>
        <rFont val="WenQuanYi Zen Hei"/>
        <family val="2"/>
      </rPr>
      <t xml:space="preserve">、</t>
    </r>
    <r>
      <rPr>
        <sz val="10"/>
        <color rgb="FF000000"/>
        <rFont val="ＭＳ Ｐ明朝"/>
        <family val="0"/>
        <charset val="1"/>
      </rPr>
      <t xml:space="preserve">7/21</t>
    </r>
    <r>
      <rPr>
        <sz val="10"/>
        <color rgb="FF000000"/>
        <rFont val="WenQuanYi Zen Hei"/>
        <family val="2"/>
      </rPr>
      <t xml:space="preserve">、</t>
    </r>
    <r>
      <rPr>
        <sz val="10"/>
        <color rgb="FF000000"/>
        <rFont val="ＭＳ Ｐ明朝"/>
        <family val="0"/>
        <charset val="1"/>
      </rPr>
      <t xml:space="preserve">7/22</t>
    </r>
    <r>
      <rPr>
        <sz val="10"/>
        <color rgb="FF000000"/>
        <rFont val="WenQuanYi Zen Hei"/>
        <family val="2"/>
      </rPr>
      <t xml:space="preserve">、</t>
    </r>
    <r>
      <rPr>
        <sz val="10"/>
        <color rgb="FF000000"/>
        <rFont val="ＭＳ Ｐ明朝"/>
        <family val="0"/>
        <charset val="1"/>
      </rPr>
      <t xml:space="preserve">7/23</t>
    </r>
    <r>
      <rPr>
        <sz val="10"/>
        <color rgb="FF000000"/>
        <rFont val="WenQuanYi Zen Hei"/>
        <family val="2"/>
      </rPr>
      <t xml:space="preserve">、</t>
    </r>
    <r>
      <rPr>
        <sz val="10"/>
        <color rgb="FF000000"/>
        <rFont val="ＭＳ Ｐ明朝"/>
        <family val="0"/>
        <charset val="1"/>
      </rPr>
      <t xml:space="preserve">7/27</t>
    </r>
    <r>
      <rPr>
        <sz val="10"/>
        <color rgb="FF000000"/>
        <rFont val="WenQuanYi Zen Hei"/>
        <family val="2"/>
      </rPr>
      <t xml:space="preserve">、</t>
    </r>
    <r>
      <rPr>
        <sz val="10"/>
        <color rgb="FF000000"/>
        <rFont val="ＭＳ Ｐ明朝"/>
        <family val="0"/>
        <charset val="1"/>
      </rPr>
      <t xml:space="preserve">7/28</t>
    </r>
    <r>
      <rPr>
        <sz val="10"/>
        <color rgb="FF000000"/>
        <rFont val="WenQuanYi Zen Hei"/>
        <family val="2"/>
      </rPr>
      <t xml:space="preserve">、</t>
    </r>
    <r>
      <rPr>
        <sz val="10"/>
        <color rgb="FF000000"/>
        <rFont val="ＭＳ Ｐ明朝"/>
        <family val="0"/>
        <charset val="1"/>
      </rPr>
      <t xml:space="preserve">7/29</t>
    </r>
    <r>
      <rPr>
        <sz val="10"/>
        <color rgb="FF000000"/>
        <rFont val="WenQuanYi Zen Hei"/>
        <family val="2"/>
      </rPr>
      <t xml:space="preserve">、</t>
    </r>
    <r>
      <rPr>
        <sz val="10"/>
        <color rgb="FF000000"/>
        <rFont val="ＭＳ Ｐ明朝"/>
        <family val="0"/>
        <charset val="1"/>
      </rPr>
      <t xml:space="preserve">7/31</t>
    </r>
  </si>
  <si>
    <r>
      <rPr>
        <sz val="10"/>
        <color rgb="FF000000"/>
        <rFont val="ＭＳ Ｐ明朝"/>
        <family val="0"/>
        <charset val="1"/>
      </rPr>
      <t xml:space="preserve">№68</t>
    </r>
    <r>
      <rPr>
        <sz val="10"/>
        <color rgb="FF000000"/>
        <rFont val="WenQuanYi Zen Hei"/>
        <family val="2"/>
      </rPr>
      <t xml:space="preserve">、№</t>
    </r>
    <r>
      <rPr>
        <sz val="10"/>
        <color rgb="FF000000"/>
        <rFont val="ＭＳ Ｐ明朝"/>
        <family val="0"/>
        <charset val="1"/>
      </rPr>
      <t xml:space="preserve">72</t>
    </r>
    <r>
      <rPr>
        <sz val="10"/>
        <color rgb="FF000000"/>
        <rFont val="WenQuanYi Zen Hei"/>
        <family val="2"/>
      </rPr>
      <t xml:space="preserve">、№</t>
    </r>
    <r>
      <rPr>
        <sz val="10"/>
        <color rgb="FF000000"/>
        <rFont val="ＭＳ Ｐ明朝"/>
        <family val="0"/>
        <charset val="1"/>
      </rPr>
      <t xml:space="preserve">73</t>
    </r>
    <r>
      <rPr>
        <sz val="10"/>
        <color rgb="FF000000"/>
        <rFont val="WenQuanYi Zen Hei"/>
        <family val="2"/>
      </rPr>
      <t xml:space="preserve">、№</t>
    </r>
    <r>
      <rPr>
        <sz val="10"/>
        <color rgb="FF000000"/>
        <rFont val="ＭＳ Ｐ明朝"/>
        <family val="0"/>
        <charset val="1"/>
      </rPr>
      <t xml:space="preserve">74</t>
    </r>
    <r>
      <rPr>
        <sz val="10"/>
        <color rgb="FF000000"/>
        <rFont val="WenQuanYi Zen Hei"/>
        <family val="2"/>
      </rPr>
      <t xml:space="preserve">、№</t>
    </r>
    <r>
      <rPr>
        <sz val="10"/>
        <color rgb="FF000000"/>
        <rFont val="ＭＳ Ｐ明朝"/>
        <family val="0"/>
        <charset val="1"/>
      </rPr>
      <t xml:space="preserve">75</t>
    </r>
    <r>
      <rPr>
        <sz val="10"/>
        <color rgb="FF000000"/>
        <rFont val="WenQuanYi Zen Hei"/>
        <family val="2"/>
      </rPr>
      <t xml:space="preserve">、№</t>
    </r>
    <r>
      <rPr>
        <sz val="10"/>
        <color rgb="FF000000"/>
        <rFont val="ＭＳ Ｐ明朝"/>
        <family val="0"/>
        <charset val="1"/>
      </rPr>
      <t xml:space="preserve">76</t>
    </r>
    <r>
      <rPr>
        <sz val="10"/>
        <color rgb="FF000000"/>
        <rFont val="WenQuanYi Zen Hei"/>
        <family val="2"/>
      </rPr>
      <t xml:space="preserve">、№</t>
    </r>
    <r>
      <rPr>
        <sz val="10"/>
        <color rgb="FF000000"/>
        <rFont val="ＭＳ Ｐ明朝"/>
        <family val="0"/>
        <charset val="1"/>
      </rPr>
      <t xml:space="preserve">77</t>
    </r>
    <r>
      <rPr>
        <sz val="10"/>
        <color rgb="FF000000"/>
        <rFont val="WenQuanYi Zen Hei"/>
        <family val="2"/>
      </rPr>
      <t xml:space="preserve">、№</t>
    </r>
    <r>
      <rPr>
        <sz val="10"/>
        <color rgb="FF000000"/>
        <rFont val="ＭＳ Ｐ明朝"/>
        <family val="0"/>
        <charset val="1"/>
      </rPr>
      <t xml:space="preserve">79</t>
    </r>
    <r>
      <rPr>
        <sz val="10"/>
        <color rgb="FF000000"/>
        <rFont val="WenQuanYi Zen Hei"/>
        <family val="2"/>
      </rPr>
      <t xml:space="preserve">、№</t>
    </r>
    <r>
      <rPr>
        <sz val="10"/>
        <color rgb="FF000000"/>
        <rFont val="ＭＳ Ｐ明朝"/>
        <family val="0"/>
        <charset val="1"/>
      </rPr>
      <t xml:space="preserve">80</t>
    </r>
    <r>
      <rPr>
        <sz val="10"/>
        <color rgb="FF000000"/>
        <rFont val="WenQuanYi Zen Hei"/>
        <family val="2"/>
      </rPr>
      <t xml:space="preserve">、№</t>
    </r>
    <r>
      <rPr>
        <sz val="10"/>
        <color rgb="FF000000"/>
        <rFont val="ＭＳ Ｐ明朝"/>
        <family val="0"/>
        <charset val="1"/>
      </rPr>
      <t xml:space="preserve">81</t>
    </r>
    <r>
      <rPr>
        <sz val="10"/>
        <color rgb="FF000000"/>
        <rFont val="WenQuanYi Zen Hei"/>
        <family val="2"/>
      </rPr>
      <t xml:space="preserve">、№</t>
    </r>
    <r>
      <rPr>
        <sz val="10"/>
        <color rgb="FF000000"/>
        <rFont val="ＭＳ Ｐ明朝"/>
        <family val="0"/>
        <charset val="1"/>
      </rPr>
      <t xml:space="preserve">83</t>
    </r>
  </si>
  <si>
    <t xml:space="preserve">第16条</t>
  </si>
  <si>
    <t xml:space="preserve">第17条</t>
  </si>
  <si>
    <t xml:space="preserve">第19条</t>
  </si>
  <si>
    <r>
      <rPr>
        <sz val="10"/>
        <color rgb="FF000000"/>
        <rFont val="ＭＳ Ｐ明朝"/>
        <family val="0"/>
        <charset val="1"/>
      </rPr>
      <t xml:space="preserve">7/3</t>
    </r>
    <r>
      <rPr>
        <sz val="10"/>
        <color rgb="FF000000"/>
        <rFont val="WenQuanYi Zen Hei"/>
        <family val="2"/>
      </rPr>
      <t xml:space="preserve">、</t>
    </r>
    <r>
      <rPr>
        <sz val="10"/>
        <color rgb="FF000000"/>
        <rFont val="ＭＳ Ｐ明朝"/>
        <family val="0"/>
        <charset val="1"/>
      </rPr>
      <t xml:space="preserve">7/6</t>
    </r>
    <r>
      <rPr>
        <sz val="10"/>
        <color rgb="FF000000"/>
        <rFont val="WenQuanYi Zen Hei"/>
        <family val="2"/>
      </rPr>
      <t xml:space="preserve">、</t>
    </r>
    <r>
      <rPr>
        <sz val="10"/>
        <color rgb="FF000000"/>
        <rFont val="ＭＳ Ｐ明朝"/>
        <family val="0"/>
        <charset val="1"/>
      </rPr>
      <t xml:space="preserve">7/9</t>
    </r>
    <r>
      <rPr>
        <sz val="10"/>
        <color rgb="FF000000"/>
        <rFont val="WenQuanYi Zen Hei"/>
        <family val="2"/>
      </rPr>
      <t xml:space="preserve">、</t>
    </r>
    <r>
      <rPr>
        <sz val="10"/>
        <color rgb="FF000000"/>
        <rFont val="ＭＳ Ｐ明朝"/>
        <family val="0"/>
        <charset val="1"/>
      </rPr>
      <t xml:space="preserve">7/10</t>
    </r>
    <r>
      <rPr>
        <sz val="10"/>
        <color rgb="FF000000"/>
        <rFont val="WenQuanYi Zen Hei"/>
        <family val="2"/>
      </rPr>
      <t xml:space="preserve">、</t>
    </r>
    <r>
      <rPr>
        <sz val="10"/>
        <color rgb="FF000000"/>
        <rFont val="ＭＳ Ｐ明朝"/>
        <family val="0"/>
        <charset val="1"/>
      </rPr>
      <t xml:space="preserve">7/16</t>
    </r>
    <r>
      <rPr>
        <sz val="10"/>
        <color rgb="FF000000"/>
        <rFont val="WenQuanYi Zen Hei"/>
        <family val="2"/>
      </rPr>
      <t xml:space="preserve">、</t>
    </r>
    <r>
      <rPr>
        <sz val="10"/>
        <color rgb="FF000000"/>
        <rFont val="ＭＳ Ｐ明朝"/>
        <family val="0"/>
        <charset val="1"/>
      </rPr>
      <t xml:space="preserve">7/24</t>
    </r>
    <r>
      <rPr>
        <sz val="10"/>
        <color rgb="FF000000"/>
        <rFont val="WenQuanYi Zen Hei"/>
        <family val="2"/>
      </rPr>
      <t xml:space="preserve">、</t>
    </r>
    <r>
      <rPr>
        <sz val="10"/>
        <color rgb="FF000000"/>
        <rFont val="ＭＳ Ｐ明朝"/>
        <family val="0"/>
        <charset val="1"/>
      </rPr>
      <t xml:space="preserve">7/30</t>
    </r>
    <r>
      <rPr>
        <sz val="10"/>
        <color rgb="FF000000"/>
        <rFont val="WenQuanYi Zen Hei"/>
        <family val="2"/>
      </rPr>
      <t xml:space="preserve">、</t>
    </r>
    <r>
      <rPr>
        <sz val="10"/>
        <color rgb="FF000000"/>
        <rFont val="ＭＳ Ｐ明朝"/>
        <family val="0"/>
        <charset val="1"/>
      </rPr>
      <t xml:space="preserve">7/31</t>
    </r>
  </si>
  <si>
    <r>
      <rPr>
        <sz val="10"/>
        <color rgb="FF000000"/>
        <rFont val="ＭＳ Ｐ明朝"/>
        <family val="0"/>
        <charset val="1"/>
      </rPr>
      <t xml:space="preserve">№64</t>
    </r>
    <r>
      <rPr>
        <sz val="10"/>
        <color rgb="FF000000"/>
        <rFont val="WenQuanYi Zen Hei"/>
        <family val="2"/>
      </rPr>
      <t xml:space="preserve">、№</t>
    </r>
    <r>
      <rPr>
        <sz val="10"/>
        <color rgb="FF000000"/>
        <rFont val="ＭＳ Ｐ明朝"/>
        <family val="0"/>
        <charset val="1"/>
      </rPr>
      <t xml:space="preserve">65</t>
    </r>
    <r>
      <rPr>
        <sz val="10"/>
        <color rgb="FF000000"/>
        <rFont val="WenQuanYi Zen Hei"/>
        <family val="2"/>
      </rPr>
      <t xml:space="preserve">、№</t>
    </r>
    <r>
      <rPr>
        <sz val="10"/>
        <color rgb="FF000000"/>
        <rFont val="ＭＳ Ｐ明朝"/>
        <family val="0"/>
        <charset val="1"/>
      </rPr>
      <t xml:space="preserve">68</t>
    </r>
    <r>
      <rPr>
        <sz val="10"/>
        <color rgb="FF000000"/>
        <rFont val="WenQuanYi Zen Hei"/>
        <family val="2"/>
      </rPr>
      <t xml:space="preserve">、№</t>
    </r>
    <r>
      <rPr>
        <sz val="10"/>
        <color rgb="FF000000"/>
        <rFont val="ＭＳ Ｐ明朝"/>
        <family val="0"/>
        <charset val="1"/>
      </rPr>
      <t xml:space="preserve">69</t>
    </r>
    <r>
      <rPr>
        <sz val="10"/>
        <color rgb="FF000000"/>
        <rFont val="WenQuanYi Zen Hei"/>
        <family val="2"/>
      </rPr>
      <t xml:space="preserve">、№</t>
    </r>
    <r>
      <rPr>
        <sz val="10"/>
        <color rgb="FF000000"/>
        <rFont val="ＭＳ Ｐ明朝"/>
        <family val="0"/>
        <charset val="1"/>
      </rPr>
      <t xml:space="preserve">73</t>
    </r>
    <r>
      <rPr>
        <sz val="10"/>
        <color rgb="FF000000"/>
        <rFont val="WenQuanYi Zen Hei"/>
        <family val="2"/>
      </rPr>
      <t xml:space="preserve">、№</t>
    </r>
    <r>
      <rPr>
        <sz val="10"/>
        <color rgb="FF000000"/>
        <rFont val="ＭＳ Ｐ明朝"/>
        <family val="0"/>
        <charset val="1"/>
      </rPr>
      <t xml:space="preserve">78</t>
    </r>
    <r>
      <rPr>
        <sz val="10"/>
        <color rgb="FF000000"/>
        <rFont val="WenQuanYi Zen Hei"/>
        <family val="2"/>
      </rPr>
      <t xml:space="preserve">、№</t>
    </r>
    <r>
      <rPr>
        <sz val="10"/>
        <color rgb="FF000000"/>
        <rFont val="ＭＳ Ｐ明朝"/>
        <family val="0"/>
        <charset val="1"/>
      </rPr>
      <t xml:space="preserve">82</t>
    </r>
    <r>
      <rPr>
        <sz val="10"/>
        <color rgb="FF000000"/>
        <rFont val="WenQuanYi Zen Hei"/>
        <family val="2"/>
      </rPr>
      <t xml:space="preserve">、№</t>
    </r>
    <r>
      <rPr>
        <sz val="10"/>
        <color rgb="FF000000"/>
        <rFont val="ＭＳ Ｐ明朝"/>
        <family val="0"/>
        <charset val="1"/>
      </rPr>
      <t xml:space="preserve">83</t>
    </r>
  </si>
  <si>
    <t xml:space="preserve">第20条</t>
  </si>
  <si>
    <r>
      <rPr>
        <sz val="10"/>
        <color rgb="FF000000"/>
        <rFont val="ＭＳ Ｐ明朝"/>
        <family val="0"/>
        <charset val="1"/>
      </rPr>
      <t xml:space="preserve">7/8</t>
    </r>
    <r>
      <rPr>
        <sz val="10"/>
        <color rgb="FF000000"/>
        <rFont val="WenQuanYi Zen Hei"/>
        <family val="2"/>
      </rPr>
      <t xml:space="preserve">、</t>
    </r>
    <r>
      <rPr>
        <sz val="10"/>
        <color rgb="FF000000"/>
        <rFont val="ＭＳ Ｐ明朝"/>
        <family val="0"/>
        <charset val="1"/>
      </rPr>
      <t xml:space="preserve">7/10</t>
    </r>
    <r>
      <rPr>
        <sz val="10"/>
        <color rgb="FF000000"/>
        <rFont val="WenQuanYi Zen Hei"/>
        <family val="2"/>
      </rPr>
      <t xml:space="preserve">、</t>
    </r>
    <r>
      <rPr>
        <sz val="10"/>
        <color rgb="FF000000"/>
        <rFont val="ＭＳ Ｐ明朝"/>
        <family val="0"/>
        <charset val="1"/>
      </rPr>
      <t xml:space="preserve">7/13</t>
    </r>
    <r>
      <rPr>
        <sz val="10"/>
        <color rgb="FF000000"/>
        <rFont val="WenQuanYi Zen Hei"/>
        <family val="2"/>
      </rPr>
      <t xml:space="preserve">、</t>
    </r>
    <r>
      <rPr>
        <sz val="10"/>
        <color rgb="FF000000"/>
        <rFont val="ＭＳ Ｐ明朝"/>
        <family val="0"/>
        <charset val="1"/>
      </rPr>
      <t xml:space="preserve">7/14</t>
    </r>
    <r>
      <rPr>
        <sz val="10"/>
        <color rgb="FF000000"/>
        <rFont val="WenQuanYi Zen Hei"/>
        <family val="2"/>
      </rPr>
      <t xml:space="preserve">、</t>
    </r>
    <r>
      <rPr>
        <sz val="10"/>
        <color rgb="FF000000"/>
        <rFont val="ＭＳ Ｐ明朝"/>
        <family val="0"/>
        <charset val="1"/>
      </rPr>
      <t xml:space="preserve">7/15</t>
    </r>
  </si>
  <si>
    <r>
      <rPr>
        <sz val="10"/>
        <color rgb="FF000000"/>
        <rFont val="ＭＳ Ｐ明朝"/>
        <family val="0"/>
        <charset val="1"/>
      </rPr>
      <t xml:space="preserve">№67</t>
    </r>
    <r>
      <rPr>
        <sz val="10"/>
        <color rgb="FF000000"/>
        <rFont val="WenQuanYi Zen Hei"/>
        <family val="2"/>
      </rPr>
      <t xml:space="preserve">、№</t>
    </r>
    <r>
      <rPr>
        <sz val="10"/>
        <color rgb="FF000000"/>
        <rFont val="ＭＳ Ｐ明朝"/>
        <family val="0"/>
        <charset val="1"/>
      </rPr>
      <t xml:space="preserve">69</t>
    </r>
    <r>
      <rPr>
        <sz val="10"/>
        <color rgb="FF000000"/>
        <rFont val="WenQuanYi Zen Hei"/>
        <family val="2"/>
      </rPr>
      <t xml:space="preserve">、№</t>
    </r>
    <r>
      <rPr>
        <sz val="10"/>
        <color rgb="FF000000"/>
        <rFont val="ＭＳ Ｐ明朝"/>
        <family val="0"/>
        <charset val="1"/>
      </rPr>
      <t xml:space="preserve">70</t>
    </r>
    <r>
      <rPr>
        <sz val="10"/>
        <color rgb="FF000000"/>
        <rFont val="WenQuanYi Zen Hei"/>
        <family val="2"/>
      </rPr>
      <t xml:space="preserve">、№</t>
    </r>
    <r>
      <rPr>
        <sz val="10"/>
        <color rgb="FF000000"/>
        <rFont val="ＭＳ Ｐ明朝"/>
        <family val="0"/>
        <charset val="1"/>
      </rPr>
      <t xml:space="preserve">71</t>
    </r>
    <r>
      <rPr>
        <sz val="10"/>
        <color rgb="FF000000"/>
        <rFont val="WenQuanYi Zen Hei"/>
        <family val="2"/>
      </rPr>
      <t xml:space="preserve">、№</t>
    </r>
    <r>
      <rPr>
        <sz val="10"/>
        <color rgb="FF000000"/>
        <rFont val="ＭＳ Ｐ明朝"/>
        <family val="0"/>
        <charset val="1"/>
      </rPr>
      <t xml:space="preserve">72</t>
    </r>
  </si>
  <si>
    <t xml:space="preserve">合計</t>
  </si>
  <si>
    <t xml:space="preserve">※ 条文番号をクリックすると「条文別整理表」の該当箇所へ移動。件数・実施日数は「条文別集計」から参照。</t>
  </si>
  <si>
    <r>
      <rPr>
        <sz val="9"/>
        <rFont val="WenQuanYi Zen Hei"/>
        <family val="2"/>
      </rPr>
      <t xml:space="preserve">※ 「整理表 頁」は条文別整理表を</t>
    </r>
    <r>
      <rPr>
        <sz val="9"/>
        <rFont val="ＭＳ Ｐ明朝"/>
        <family val="0"/>
        <charset val="1"/>
      </rPr>
      <t xml:space="preserve">A4</t>
    </r>
    <r>
      <rPr>
        <sz val="9"/>
        <rFont val="WenQuanYi Zen Hei"/>
        <family val="2"/>
      </rPr>
      <t xml:space="preserve">横で印刷した際のページ番号（フッター「条文別整理表 </t>
    </r>
    <r>
      <rPr>
        <sz val="9"/>
        <rFont val="ＭＳ Ｐ明朝"/>
        <family val="0"/>
        <charset val="1"/>
      </rPr>
      <t xml:space="preserve">p.○</t>
    </r>
    <r>
      <rPr>
        <sz val="9"/>
        <rFont val="WenQuanYi Zen Hei"/>
        <family val="2"/>
      </rPr>
      <t xml:space="preserve">」に対応）。</t>
    </r>
  </si>
  <si>
    <r>
      <rPr>
        <sz val="9"/>
        <rFont val="WenQuanYi Zen Hei"/>
        <family val="2"/>
      </rPr>
      <t xml:space="preserve">※ 日常定型業務（業務内容打合せ・翌日作業打合せ・報告書作成）は第</t>
    </r>
    <r>
      <rPr>
        <sz val="9"/>
        <rFont val="ＭＳ Ｐ明朝"/>
        <family val="0"/>
        <charset val="1"/>
      </rPr>
      <t xml:space="preserve">5</t>
    </r>
    <r>
      <rPr>
        <sz val="9"/>
        <rFont val="WenQuanYi Zen Hei"/>
        <family val="2"/>
      </rPr>
      <t xml:space="preserve">条に</t>
    </r>
    <r>
      <rPr>
        <sz val="9"/>
        <rFont val="ＭＳ Ｐ明朝"/>
        <family val="0"/>
        <charset val="1"/>
      </rPr>
      <t xml:space="preserve">1</t>
    </r>
    <r>
      <rPr>
        <sz val="9"/>
        <rFont val="WenQuanYi Zen Hei"/>
        <family val="2"/>
      </rPr>
      <t xml:space="preserve">日</t>
    </r>
    <r>
      <rPr>
        <sz val="9"/>
        <rFont val="ＭＳ Ｐ明朝"/>
        <family val="0"/>
        <charset val="1"/>
      </rPr>
      <t xml:space="preserve">1</t>
    </r>
    <r>
      <rPr>
        <sz val="9"/>
        <rFont val="WenQuanYi Zen Hei"/>
        <family val="2"/>
      </rPr>
      <t xml:space="preserve">件として計上。</t>
    </r>
  </si>
  <si>
    <r>
      <rPr>
        <b val="true"/>
        <sz val="16"/>
        <rFont val="WenQuanYi Zen Hei"/>
        <family val="2"/>
      </rPr>
      <t xml:space="preserve">現場技術業務　検査受検資料　条文別整理表（令和</t>
    </r>
    <r>
      <rPr>
        <b val="true"/>
        <sz val="16"/>
        <rFont val="ＭＳ Ｐ明朝"/>
        <family val="0"/>
        <charset val="1"/>
      </rPr>
      <t xml:space="preserve">8</t>
    </r>
    <r>
      <rPr>
        <b val="true"/>
        <sz val="16"/>
        <rFont val="WenQuanYi Zen Hei"/>
        <family val="2"/>
      </rPr>
      <t xml:space="preserve">年</t>
    </r>
    <r>
      <rPr>
        <b val="true"/>
        <sz val="16"/>
        <rFont val="ＭＳ Ｐ明朝"/>
        <family val="0"/>
        <charset val="1"/>
      </rPr>
      <t xml:space="preserve">7</t>
    </r>
    <r>
      <rPr>
        <b val="true"/>
        <sz val="16"/>
        <rFont val="WenQuanYi Zen Hei"/>
        <family val="2"/>
      </rPr>
      <t xml:space="preserve">月分）</t>
    </r>
  </si>
  <si>
    <t xml:space="preserve">曜</t>
  </si>
  <si>
    <t xml:space="preserve">開始時刻</t>
  </si>
  <si>
    <t xml:space="preserve">対象工事・業務</t>
  </si>
  <si>
    <t xml:space="preserve">実施内容</t>
  </si>
  <si>
    <t xml:space="preserve">相手先／検査官</t>
  </si>
  <si>
    <t xml:space="preserve">担当監督員</t>
  </si>
  <si>
    <t xml:space="preserve">報告書№</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</si>
  <si>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(1)</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</si>
  <si>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(1)</t>
    </r>
  </si>
  <si>
    <t xml:space="preserve">当月該当業務なし</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</si>
  <si>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(4)</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</si>
  <si>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(4)</t>
    </r>
  </si>
  <si>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(5)</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</si>
  <si>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(5)</t>
    </r>
  </si>
  <si>
    <t xml:space="preserve">PM1:00</t>
  </si>
  <si>
    <t xml:space="preserve">管内一円（河梨川他）府民協働型インフラ保全工事</t>
  </si>
  <si>
    <r>
      <rPr>
        <sz val="10"/>
        <color rgb="FF000000"/>
        <rFont val="WenQuanYi Zen Hei"/>
        <family val="2"/>
      </rPr>
      <t xml:space="preserve">現場状況確認 </t>
    </r>
    <r>
      <rPr>
        <sz val="10"/>
        <color rgb="FF000000"/>
        <rFont val="ＭＳ Ｐ明朝"/>
        <family val="0"/>
        <charset val="1"/>
      </rPr>
      <t xml:space="preserve">(</t>
    </r>
    <r>
      <rPr>
        <sz val="10"/>
        <color rgb="FF000000"/>
        <rFont val="WenQuanYi Zen Hei"/>
        <family val="2"/>
      </rPr>
      <t xml:space="preserve">久美浜・川上谷川）</t>
    </r>
  </si>
  <si>
    <t xml:space="preserve">西田建設㈱</t>
  </si>
  <si>
    <t xml:space="preserve">倉垣副主査</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</si>
  <si>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3</t>
    </r>
    <r>
      <rPr>
        <b val="true"/>
        <sz val="10"/>
        <rFont val="WenQuanYi Zen Hei"/>
        <family val="2"/>
      </rPr>
      <t xml:space="preserve">項</t>
    </r>
    <r>
      <rPr>
        <b val="true"/>
        <sz val="10"/>
        <rFont val="ＭＳ Ｐ明朝"/>
        <family val="0"/>
        <charset val="1"/>
      </rPr>
      <t xml:space="preserve">(6)</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</si>
  <si>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(6)</t>
    </r>
  </si>
  <si>
    <t xml:space="preserve">AM11:30</t>
  </si>
  <si>
    <t xml:space="preserve">現場技術業務</t>
  </si>
  <si>
    <t xml:space="preserve">業務検査報告書類取り纏め</t>
  </si>
  <si>
    <t xml:space="preserve">AM9:00</t>
  </si>
  <si>
    <t xml:space="preserve">小林主査</t>
  </si>
  <si>
    <t xml:space="preserve">業務報告書修正・点検</t>
  </si>
  <si>
    <t xml:space="preserve">現場技術業務 中間検査：検査官：山本係長</t>
  </si>
  <si>
    <t xml:space="preserve">AM10:00</t>
  </si>
  <si>
    <t xml:space="preserve">業務検査指摘項目等取り纏め</t>
  </si>
  <si>
    <r>
      <rPr>
        <b val="true"/>
        <sz val="10"/>
        <rFont val="WenQuanYi Zen Hei"/>
        <family val="2"/>
      </rPr>
      <t xml:space="preserve">第</t>
    </r>
    <r>
      <rPr>
        <b val="true"/>
        <sz val="10"/>
        <rFont val="ＭＳ Ｐ明朝"/>
        <family val="0"/>
        <charset val="1"/>
      </rPr>
      <t xml:space="preserve">3</t>
    </r>
    <r>
      <rPr>
        <b val="true"/>
        <sz val="10"/>
        <rFont val="WenQuanYi Zen Hei"/>
        <family val="2"/>
      </rPr>
      <t xml:space="preserve">条第</t>
    </r>
    <r>
      <rPr>
        <b val="true"/>
        <sz val="10"/>
        <rFont val="ＭＳ Ｐ明朝"/>
        <family val="0"/>
        <charset val="1"/>
      </rPr>
      <t xml:space="preserve">4</t>
    </r>
    <r>
      <rPr>
        <b val="true"/>
        <sz val="10"/>
        <rFont val="WenQuanYi Zen Hei"/>
        <family val="2"/>
      </rPr>
      <t xml:space="preserve">項</t>
    </r>
  </si>
  <si>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4</t>
    </r>
    <r>
      <rPr>
        <sz val="10"/>
        <color rgb="FF0000FF"/>
        <rFont val="WenQuanYi Zen Hei"/>
        <family val="2"/>
      </rPr>
      <t xml:space="preserve">項</t>
    </r>
  </si>
  <si>
    <r>
      <rPr>
        <b val="true"/>
        <sz val="10"/>
        <rFont val="WenQuanYi Zen Hei"/>
        <family val="2"/>
      </rPr>
      <t xml:space="preserve">第</t>
    </r>
    <r>
      <rPr>
        <b val="true"/>
        <sz val="10"/>
        <rFont val="ＭＳ Ｐ明朝"/>
        <family val="0"/>
        <charset val="1"/>
      </rPr>
      <t xml:space="preserve">5</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</si>
  <si>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5</t>
    </r>
    <r>
      <rPr>
        <sz val="10"/>
        <color rgb="FF0000FF"/>
        <rFont val="WenQuanYi Zen Hei"/>
        <family val="2"/>
      </rPr>
      <t xml:space="preserve">条</t>
    </r>
  </si>
  <si>
    <t xml:space="preserve">AM8:30</t>
  </si>
  <si>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PM4:00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</si>
  <si>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sz val="10"/>
        <color rgb="FF000000"/>
        <rFont val="WenQuanYi Zen Hei"/>
        <family val="2"/>
      </rPr>
      <t xml:space="preserve">日常定型業務（</t>
    </r>
    <r>
      <rPr>
        <sz val="10"/>
        <color rgb="FF000000"/>
        <rFont val="ＭＳ Ｐ明朝"/>
        <family val="0"/>
        <charset val="1"/>
      </rPr>
      <t xml:space="preserve">1</t>
    </r>
    <r>
      <rPr>
        <sz val="10"/>
        <color rgb="FF000000"/>
        <rFont val="WenQuanYi Zen Hei"/>
        <family val="2"/>
      </rPr>
      <t xml:space="preserve">日</t>
    </r>
    <r>
      <rPr>
        <sz val="10"/>
        <color rgb="FF000000"/>
        <rFont val="ＭＳ Ｐ明朝"/>
        <family val="0"/>
        <charset val="1"/>
      </rPr>
      <t xml:space="preserve">1</t>
    </r>
    <r>
      <rPr>
        <sz val="10"/>
        <color rgb="FF000000"/>
        <rFont val="WenQuanYi Zen Hei"/>
        <family val="2"/>
      </rPr>
      <t xml:space="preserve">行に集約）</t>
    </r>
  </si>
  <si>
    <t xml:space="preserve">乾技師</t>
  </si>
  <si>
    <t xml:space="preserve">PM4:00</t>
  </si>
  <si>
    <r>
      <rPr>
        <sz val="10"/>
        <color rgb="FF000000"/>
        <rFont val="ＭＳ Ｐ明朝"/>
        <family val="0"/>
        <charset val="1"/>
      </rPr>
      <t xml:space="preserve">PM4:00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</si>
  <si>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sz val="10"/>
        <color rgb="FF000000"/>
        <rFont val="ＭＳ Ｐ明朝"/>
        <family val="0"/>
        <charset val="1"/>
      </rPr>
      <t xml:space="preserve">AM8:30 </t>
    </r>
    <r>
      <rPr>
        <sz val="10"/>
        <color rgb="FF000000"/>
        <rFont val="WenQuanYi Zen Hei"/>
        <family val="2"/>
      </rPr>
      <t xml:space="preserve">業務内容打合せ（業務処理予定の確認）、</t>
    </r>
    <r>
      <rPr>
        <sz val="10"/>
        <color rgb="FF000000"/>
        <rFont val="ＭＳ Ｐ明朝"/>
        <family val="0"/>
        <charset val="1"/>
      </rPr>
      <t xml:space="preserve">PM4:30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</si>
  <si>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t xml:space="preserve">PM4:30</t>
  </si>
  <si>
    <r>
      <rPr>
        <sz val="10"/>
        <color rgb="FF000000"/>
        <rFont val="ＭＳ Ｐ明朝"/>
        <family val="0"/>
        <charset val="1"/>
      </rPr>
      <t xml:space="preserve">PM4:30 </t>
    </r>
    <r>
      <rPr>
        <sz val="10"/>
        <color rgb="FF000000"/>
        <rFont val="WenQuanYi Zen Hei"/>
        <family val="2"/>
      </rPr>
      <t xml:space="preserve">業務処理結果報告書作成、</t>
    </r>
    <r>
      <rPr>
        <sz val="10"/>
        <color rgb="FF000000"/>
        <rFont val="ＭＳ Ｐ明朝"/>
        <family val="0"/>
        <charset val="1"/>
      </rPr>
      <t xml:space="preserve">PM5:10 </t>
    </r>
    <r>
      <rPr>
        <sz val="10"/>
        <color rgb="FF000000"/>
        <rFont val="WenQuanYi Zen Hei"/>
        <family val="2"/>
      </rPr>
      <t xml:space="preserve">翌日作業打合せ（業務処理予定）</t>
    </r>
  </si>
  <si>
    <r>
      <rPr>
        <b val="true"/>
        <sz val="10"/>
        <rFont val="WenQuanYi Zen Hei"/>
        <family val="2"/>
      </rPr>
      <t xml:space="preserve">第</t>
    </r>
    <r>
      <rPr>
        <b val="true"/>
        <sz val="10"/>
        <rFont val="ＭＳ Ｐ明朝"/>
        <family val="0"/>
        <charset val="1"/>
      </rPr>
      <t xml:space="preserve">6</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</si>
  <si>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6</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</si>
  <si>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7</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</si>
  <si>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7</t>
    </r>
    <r>
      <rPr>
        <sz val="10"/>
        <color rgb="FF0000FF"/>
        <rFont val="WenQuanYi Zen Hei"/>
        <family val="2"/>
      </rPr>
      <t xml:space="preserve">条</t>
    </r>
  </si>
  <si>
    <t xml:space="preserve">PM2:00</t>
  </si>
  <si>
    <t xml:space="preserve">久僧海岸なぎさ緊急保全工事／管内一円（福田川）府民協働型インフラ保全工事</t>
  </si>
  <si>
    <r>
      <rPr>
        <sz val="10"/>
        <color rgb="FF000000"/>
        <rFont val="WenQuanYi Zen Hei"/>
        <family val="2"/>
      </rPr>
      <t xml:space="preserve">久僧なぎさ、福田川 </t>
    </r>
    <r>
      <rPr>
        <sz val="10"/>
        <color rgb="FF000000"/>
        <rFont val="ＭＳ Ｐ明朝"/>
        <family val="0"/>
        <charset val="1"/>
      </rPr>
      <t xml:space="preserve">ASP</t>
    </r>
    <r>
      <rPr>
        <sz val="10"/>
        <color rgb="FF000000"/>
        <rFont val="WenQuanYi Zen Hei"/>
        <family val="2"/>
      </rPr>
      <t xml:space="preserve">確認</t>
    </r>
  </si>
  <si>
    <r>
      <rPr>
        <sz val="10"/>
        <color rgb="FF000000"/>
        <rFont val="WenQuanYi Zen Hei"/>
        <family val="2"/>
      </rPr>
      <t xml:space="preserve">小林主査</t>
    </r>
    <r>
      <rPr>
        <sz val="10"/>
        <color rgb="FF000000"/>
        <rFont val="ＭＳ Ｐ明朝"/>
        <family val="0"/>
        <charset val="1"/>
      </rPr>
      <t xml:space="preserve">/</t>
    </r>
    <r>
      <rPr>
        <sz val="10"/>
        <color rgb="FF000000"/>
        <rFont val="WenQuanYi Zen Hei"/>
        <family val="2"/>
      </rPr>
      <t xml:space="preserve">倉垣副主査</t>
    </r>
  </si>
  <si>
    <t xml:space="preserve">AM11:00</t>
  </si>
  <si>
    <t xml:space="preserve">管内一円（久住川他）／（福田川）府民協働型インフラ保全工事</t>
  </si>
  <si>
    <r>
      <rPr>
        <sz val="10"/>
        <color rgb="FF000000"/>
        <rFont val="ＭＳ Ｐ明朝"/>
        <family val="0"/>
        <charset val="1"/>
      </rPr>
      <t xml:space="preserve">ASP</t>
    </r>
    <r>
      <rPr>
        <sz val="10"/>
        <color rgb="FF000000"/>
        <rFont val="WenQuanYi Zen Hei"/>
        <family val="2"/>
      </rPr>
      <t xml:space="preserve">確認（福田川、久住川）</t>
    </r>
  </si>
  <si>
    <r>
      <rPr>
        <sz val="10"/>
        <color rgb="FF000000"/>
        <rFont val="WenQuanYi Zen Hei"/>
        <family val="2"/>
      </rPr>
      <t xml:space="preserve">倉垣副主査</t>
    </r>
    <r>
      <rPr>
        <sz val="10"/>
        <color rgb="FF000000"/>
        <rFont val="ＭＳ Ｐ明朝"/>
        <family val="0"/>
        <charset val="1"/>
      </rPr>
      <t xml:space="preserve">/</t>
    </r>
    <r>
      <rPr>
        <sz val="10"/>
        <color rgb="FF000000"/>
        <rFont val="WenQuanYi Zen Hei"/>
        <family val="2"/>
      </rPr>
      <t xml:space="preserve">乾技師</t>
    </r>
  </si>
  <si>
    <r>
      <rPr>
        <b val="true"/>
        <sz val="10"/>
        <rFont val="WenQuanYi Zen Hei"/>
        <family val="2"/>
      </rPr>
      <t xml:space="preserve">第</t>
    </r>
    <r>
      <rPr>
        <b val="true"/>
        <sz val="10"/>
        <rFont val="ＭＳ Ｐ明朝"/>
        <family val="0"/>
        <charset val="1"/>
      </rPr>
      <t xml:space="preserve">8</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</si>
  <si>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8</t>
    </r>
    <r>
      <rPr>
        <sz val="10"/>
        <color rgb="FF0000FF"/>
        <rFont val="WenQuanYi Zen Hei"/>
        <family val="2"/>
      </rPr>
      <t xml:space="preserve">条</t>
    </r>
  </si>
  <si>
    <r>
      <rPr>
        <sz val="10"/>
        <color rgb="FF000000"/>
        <rFont val="WenQuanYi Zen Hei"/>
        <family val="2"/>
      </rPr>
      <t xml:space="preserve">現場立会 倉垣副主査 </t>
    </r>
    <r>
      <rPr>
        <sz val="10"/>
        <color rgb="FF000000"/>
        <rFont val="ＭＳ Ｐ明朝"/>
        <family val="0"/>
        <charset val="1"/>
      </rPr>
      <t xml:space="preserve">(</t>
    </r>
    <r>
      <rPr>
        <sz val="10"/>
        <color rgb="FF000000"/>
        <rFont val="WenQuanYi Zen Hei"/>
        <family val="2"/>
      </rPr>
      <t xml:space="preserve">久美浜・川上谷川）</t>
    </r>
  </si>
  <si>
    <t xml:space="preserve">AM9:30</t>
  </si>
  <si>
    <t xml:space="preserve">竹野川他府民協働型インフラ保全工事</t>
  </si>
  <si>
    <t xml:space="preserve">確認立会（大宮・三重 竹野川）</t>
  </si>
  <si>
    <t xml:space="preserve">㈱修己建設</t>
  </si>
  <si>
    <t xml:space="preserve">確認立会（峰山・五箇 鱒留川）</t>
  </si>
  <si>
    <r>
      <rPr>
        <sz val="10"/>
        <color rgb="FF000000"/>
        <rFont val="WenQuanYi Zen Hei"/>
        <family val="2"/>
      </rPr>
      <t xml:space="preserve">確認立会 </t>
    </r>
    <r>
      <rPr>
        <sz val="10"/>
        <color rgb="FF000000"/>
        <rFont val="ＭＳ Ｐ明朝"/>
        <family val="0"/>
        <charset val="1"/>
      </rPr>
      <t xml:space="preserve">(</t>
    </r>
    <r>
      <rPr>
        <sz val="10"/>
        <color rgb="FF000000"/>
        <rFont val="WenQuanYi Zen Hei"/>
        <family val="2"/>
      </rPr>
      <t xml:space="preserve">久美浜・川上谷川）</t>
    </r>
  </si>
  <si>
    <t xml:space="preserve">確認立会（大宮・河辺  残土仮置場）</t>
  </si>
  <si>
    <t xml:space="preserve">確認立会（大宮・善王寺 残土処理場）</t>
  </si>
  <si>
    <r>
      <rPr>
        <b val="true"/>
        <sz val="10"/>
        <rFont val="WenQuanYi Zen Hei"/>
        <family val="2"/>
      </rPr>
      <t xml:space="preserve">第</t>
    </r>
    <r>
      <rPr>
        <b val="true"/>
        <sz val="10"/>
        <rFont val="ＭＳ Ｐ明朝"/>
        <family val="0"/>
        <charset val="1"/>
      </rPr>
      <t xml:space="preserve">9</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</si>
  <si>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9</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</si>
  <si>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10</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</si>
  <si>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10</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</si>
  <si>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11</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</si>
  <si>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11</t>
    </r>
    <r>
      <rPr>
        <sz val="10"/>
        <color rgb="FF0000FF"/>
        <rFont val="WenQuanYi Zen Hei"/>
        <family val="2"/>
      </rPr>
      <t xml:space="preserve">条</t>
    </r>
  </si>
  <si>
    <t xml:space="preserve">現場進捗状況確認（峰山・五箇 鱒留川）</t>
  </si>
  <si>
    <t xml:space="preserve">現場進捗状況確認（大宮・三重 竹野川）</t>
  </si>
  <si>
    <r>
      <rPr>
        <b val="true"/>
        <sz val="10"/>
        <rFont val="WenQuanYi Zen Hei"/>
        <family val="2"/>
      </rPr>
      <t xml:space="preserve">第</t>
    </r>
    <r>
      <rPr>
        <b val="true"/>
        <sz val="10"/>
        <rFont val="ＭＳ Ｐ明朝"/>
        <family val="0"/>
        <charset val="1"/>
      </rPr>
      <t xml:space="preserve">12</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</si>
  <si>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12</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</si>
  <si>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13</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</si>
  <si>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13</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</si>
  <si>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14</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</si>
  <si>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14</t>
    </r>
    <r>
      <rPr>
        <sz val="10"/>
        <color rgb="FF0000FF"/>
        <rFont val="WenQuanYi Zen Hei"/>
        <family val="2"/>
      </rPr>
      <t xml:space="preserve">条</t>
    </r>
  </si>
  <si>
    <t xml:space="preserve">PM1:30</t>
  </si>
  <si>
    <t xml:space="preserve">浅茂川海岸なぎさ緊急保全工事</t>
  </si>
  <si>
    <t xml:space="preserve">工事完成下検査（主任監督員）</t>
  </si>
  <si>
    <t xml:space="preserve">管内一円（久住川他）府民協働型インフラ保全工事</t>
  </si>
  <si>
    <t xml:space="preserve">竣工検査立会（書面） 池田検査官</t>
  </si>
  <si>
    <t xml:space="preserve">㈱藤山工務店</t>
  </si>
  <si>
    <t xml:space="preserve">乾  技師</t>
  </si>
  <si>
    <t xml:space="preserve">竣工検査立会（現場） 池田検査官</t>
  </si>
  <si>
    <t xml:space="preserve">管内一円（福田川）府民協働型インフラ保全工事</t>
  </si>
  <si>
    <t xml:space="preserve">竣工検査立会（書面） 細見検査官</t>
  </si>
  <si>
    <t xml:space="preserve">㈲戸田建設工業</t>
  </si>
  <si>
    <r>
      <rPr>
        <b val="true"/>
        <sz val="10"/>
        <rFont val="WenQuanYi Zen Hei"/>
        <family val="2"/>
      </rPr>
      <t xml:space="preserve">第</t>
    </r>
    <r>
      <rPr>
        <b val="true"/>
        <sz val="10"/>
        <rFont val="ＭＳ Ｐ明朝"/>
        <family val="0"/>
        <charset val="1"/>
      </rPr>
      <t xml:space="preserve">15</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</si>
  <si>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15</t>
    </r>
    <r>
      <rPr>
        <sz val="10"/>
        <color rgb="FF0000FF"/>
        <rFont val="WenQuanYi Zen Hei"/>
        <family val="2"/>
      </rPr>
      <t xml:space="preserve">条</t>
    </r>
  </si>
  <si>
    <t xml:space="preserve">海岸なぎさ緊急保全工事</t>
  </si>
  <si>
    <t xml:space="preserve">変更設計書確認（海岸なぎさ工事）</t>
  </si>
  <si>
    <t xml:space="preserve">久僧海岸なぎさ緊急保全工事</t>
  </si>
  <si>
    <t xml:space="preserve">久僧なぎさ工事変更資料点検</t>
  </si>
  <si>
    <t xml:space="preserve">報告成果品点検（提出書類）</t>
  </si>
  <si>
    <r>
      <rPr>
        <sz val="10"/>
        <color rgb="FF000000"/>
        <rFont val="WenQuanYi Zen Hei"/>
        <family val="2"/>
      </rPr>
      <t xml:space="preserve">報告成果品点検</t>
    </r>
    <r>
      <rPr>
        <sz val="10"/>
        <color rgb="FF000000"/>
        <rFont val="ＭＳ Ｐ明朝"/>
        <family val="0"/>
        <charset val="1"/>
      </rPr>
      <t xml:space="preserve">(</t>
    </r>
    <r>
      <rPr>
        <sz val="10"/>
        <color rgb="FF000000"/>
        <rFont val="WenQuanYi Zen Hei"/>
        <family val="2"/>
      </rPr>
      <t xml:space="preserve">提出</t>
    </r>
    <r>
      <rPr>
        <sz val="10"/>
        <color rgb="FF000000"/>
        <rFont val="ＭＳ Ｐ明朝"/>
        <family val="0"/>
        <charset val="1"/>
      </rPr>
      <t xml:space="preserve">/</t>
    </r>
    <r>
      <rPr>
        <sz val="10"/>
        <color rgb="FF000000"/>
        <rFont val="WenQuanYi Zen Hei"/>
        <family val="2"/>
      </rPr>
      <t xml:space="preserve">提示書類）</t>
    </r>
  </si>
  <si>
    <t xml:space="preserve">久僧なぎさ工事変更資料再点検</t>
  </si>
  <si>
    <t xml:space="preserve">PM2:30</t>
  </si>
  <si>
    <t xml:space="preserve">竹野川他インフラ 変更設計資料点検</t>
  </si>
  <si>
    <r>
      <rPr>
        <sz val="10"/>
        <color rgb="FF000000"/>
        <rFont val="WenQuanYi Zen Hei"/>
        <family val="2"/>
      </rPr>
      <t xml:space="preserve">成果品再点検</t>
    </r>
    <r>
      <rPr>
        <sz val="10"/>
        <color rgb="FF000000"/>
        <rFont val="ＭＳ Ｐ明朝"/>
        <family val="0"/>
        <charset val="1"/>
      </rPr>
      <t xml:space="preserve">(</t>
    </r>
    <r>
      <rPr>
        <sz val="10"/>
        <color rgb="FF000000"/>
        <rFont val="WenQuanYi Zen Hei"/>
        <family val="2"/>
      </rPr>
      <t xml:space="preserve">浅茂川海岸なぎさ緊急保全工事</t>
    </r>
    <r>
      <rPr>
        <sz val="10"/>
        <color rgb="FF000000"/>
        <rFont val="ＭＳ Ｐ明朝"/>
        <family val="0"/>
        <charset val="1"/>
      </rPr>
      <t xml:space="preserve">)</t>
    </r>
  </si>
  <si>
    <r>
      <rPr>
        <sz val="10"/>
        <color rgb="FF000000"/>
        <rFont val="WenQuanYi Zen Hei"/>
        <family val="2"/>
      </rPr>
      <t xml:space="preserve">成果品再点検</t>
    </r>
    <r>
      <rPr>
        <sz val="10"/>
        <color rgb="FF000000"/>
        <rFont val="ＭＳ Ｐ明朝"/>
        <family val="0"/>
        <charset val="1"/>
      </rPr>
      <t xml:space="preserve">(</t>
    </r>
    <r>
      <rPr>
        <sz val="10"/>
        <color rgb="FF000000"/>
        <rFont val="WenQuanYi Zen Hei"/>
        <family val="2"/>
      </rPr>
      <t xml:space="preserve">久住川他インフラ工事</t>
    </r>
    <r>
      <rPr>
        <sz val="10"/>
        <color rgb="FF000000"/>
        <rFont val="ＭＳ Ｐ明朝"/>
        <family val="0"/>
        <charset val="1"/>
      </rPr>
      <t xml:space="preserve">)</t>
    </r>
  </si>
  <si>
    <t xml:space="preserve">PM3:00</t>
  </si>
  <si>
    <t xml:space="preserve">変更設計協議日程調整他</t>
  </si>
  <si>
    <t xml:space="preserve">変更資料点検 竹野川他府民インフラ保全工事</t>
  </si>
  <si>
    <r>
      <rPr>
        <sz val="10"/>
        <color rgb="FF000000"/>
        <rFont val="WenQuanYi Zen Hei"/>
        <family val="2"/>
      </rPr>
      <t xml:space="preserve">変更設計資料点検 竹野川他（</t>
    </r>
    <r>
      <rPr>
        <sz val="10"/>
        <color rgb="FF000000"/>
        <rFont val="ＭＳ Ｐ明朝"/>
        <family val="0"/>
        <charset val="1"/>
      </rPr>
      <t xml:space="preserve">019</t>
    </r>
    <r>
      <rPr>
        <sz val="10"/>
        <color rgb="FF000000"/>
        <rFont val="WenQuanYi Zen Hei"/>
        <family val="2"/>
      </rPr>
      <t xml:space="preserve">佐濃谷川）</t>
    </r>
  </si>
  <si>
    <r>
      <rPr>
        <sz val="10"/>
        <color rgb="FF000000"/>
        <rFont val="WenQuanYi Zen Hei"/>
        <family val="2"/>
      </rPr>
      <t xml:space="preserve">変更設計資料点検 竹野川他（</t>
    </r>
    <r>
      <rPr>
        <sz val="10"/>
        <color rgb="FF000000"/>
        <rFont val="ＭＳ Ｐ明朝"/>
        <family val="0"/>
        <charset val="1"/>
      </rPr>
      <t xml:space="preserve">062</t>
    </r>
    <r>
      <rPr>
        <sz val="10"/>
        <color rgb="FF000000"/>
        <rFont val="WenQuanYi Zen Hei"/>
        <family val="2"/>
      </rPr>
      <t xml:space="preserve">円頓寺川）</t>
    </r>
  </si>
  <si>
    <r>
      <rPr>
        <sz val="10"/>
        <color rgb="FF000000"/>
        <rFont val="WenQuanYi Zen Hei"/>
        <family val="2"/>
      </rPr>
      <t xml:space="preserve">変更設計資料点検 竹野川他（</t>
    </r>
    <r>
      <rPr>
        <sz val="10"/>
        <color rgb="FF000000"/>
        <rFont val="ＭＳ Ｐ明朝"/>
        <family val="0"/>
        <charset val="1"/>
      </rPr>
      <t xml:space="preserve">017</t>
    </r>
    <r>
      <rPr>
        <sz val="10"/>
        <color rgb="FF000000"/>
        <rFont val="WenQuanYi Zen Hei"/>
        <family val="2"/>
      </rPr>
      <t xml:space="preserve">竹野川）</t>
    </r>
  </si>
  <si>
    <t xml:space="preserve">工事検査打合せ：久住川他インフラ（河川砂防課）</t>
  </si>
  <si>
    <t xml:space="preserve">AM10:30</t>
  </si>
  <si>
    <r>
      <rPr>
        <sz val="10"/>
        <color rgb="FF000000"/>
        <rFont val="WenQuanYi Zen Hei"/>
        <family val="2"/>
      </rPr>
      <t xml:space="preserve">報告成果品点検（提出書類</t>
    </r>
    <r>
      <rPr>
        <sz val="10"/>
        <color rgb="FF000000"/>
        <rFont val="ＭＳ Ｐ明朝"/>
        <family val="0"/>
        <charset val="1"/>
      </rPr>
      <t xml:space="preserve">/ASP</t>
    </r>
    <r>
      <rPr>
        <sz val="10"/>
        <color rgb="FF000000"/>
        <rFont val="WenQuanYi Zen Hei"/>
        <family val="2"/>
      </rPr>
      <t xml:space="preserve">確認）</t>
    </r>
  </si>
  <si>
    <r>
      <rPr>
        <sz val="10"/>
        <color rgb="FF000000"/>
        <rFont val="WenQuanYi Zen Hei"/>
        <family val="2"/>
      </rPr>
      <t xml:space="preserve">報告成果品点検（提示</t>
    </r>
    <r>
      <rPr>
        <sz val="10"/>
        <color rgb="FF000000"/>
        <rFont val="ＭＳ Ｐ明朝"/>
        <family val="0"/>
        <charset val="1"/>
      </rPr>
      <t xml:space="preserve">/</t>
    </r>
    <r>
      <rPr>
        <sz val="10"/>
        <color rgb="FF000000"/>
        <rFont val="WenQuanYi Zen Hei"/>
        <family val="2"/>
      </rPr>
      <t xml:space="preserve">チェックリスト作成）</t>
    </r>
  </si>
  <si>
    <t xml:space="preserve">工事検査打合せ：福田川他インフラ（河川砂防課）</t>
  </si>
  <si>
    <r>
      <rPr>
        <sz val="10"/>
        <color rgb="FF000000"/>
        <rFont val="WenQuanYi Zen Hei"/>
        <family val="2"/>
      </rPr>
      <t xml:space="preserve">変更設計資料点検 竹野川他（</t>
    </r>
    <r>
      <rPr>
        <sz val="10"/>
        <color rgb="FF000000"/>
        <rFont val="ＭＳ Ｐ明朝"/>
        <family val="0"/>
        <charset val="1"/>
      </rPr>
      <t xml:space="preserve">117</t>
    </r>
    <r>
      <rPr>
        <sz val="10"/>
        <color rgb="FF000000"/>
        <rFont val="WenQuanYi Zen Hei"/>
        <family val="2"/>
      </rPr>
      <t xml:space="preserve">鱒留川）</t>
    </r>
  </si>
  <si>
    <t xml:space="preserve">変更設計内容打合せ（河川砂防課）</t>
  </si>
  <si>
    <t xml:space="preserve">変更設計資料点検 修正依頼送付</t>
  </si>
  <si>
    <t xml:space="preserve">変更設計資料点検 竹野川他（修正返信分）</t>
  </si>
  <si>
    <r>
      <rPr>
        <b val="true"/>
        <sz val="10"/>
        <rFont val="WenQuanYi Zen Hei"/>
        <family val="2"/>
      </rPr>
      <t xml:space="preserve">第</t>
    </r>
    <r>
      <rPr>
        <b val="true"/>
        <sz val="10"/>
        <rFont val="ＭＳ Ｐ明朝"/>
        <family val="0"/>
        <charset val="1"/>
      </rPr>
      <t xml:space="preserve">16</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</si>
  <si>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16</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</si>
  <si>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17</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</si>
  <si>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17</t>
    </r>
    <r>
      <rPr>
        <sz val="10"/>
        <color rgb="FF0000FF"/>
        <rFont val="WenQuanYi Zen Hei"/>
        <family val="2"/>
      </rPr>
      <t xml:space="preserve">条</t>
    </r>
  </si>
  <si>
    <r>
      <rPr>
        <b val="true"/>
        <sz val="10"/>
        <rFont val="WenQuanYi Zen Hei"/>
        <family val="2"/>
      </rPr>
      <t xml:space="preserve">第</t>
    </r>
    <r>
      <rPr>
        <b val="true"/>
        <sz val="10"/>
        <rFont val="ＭＳ Ｐ明朝"/>
        <family val="0"/>
        <charset val="1"/>
      </rPr>
      <t xml:space="preserve">19</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</si>
  <si>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19</t>
    </r>
    <r>
      <rPr>
        <sz val="10"/>
        <color rgb="FF0000FF"/>
        <rFont val="WenQuanYi Zen Hei"/>
        <family val="2"/>
      </rPr>
      <t xml:space="preserve">条</t>
    </r>
  </si>
  <si>
    <t xml:space="preserve">河口・海岸 定期観測</t>
  </si>
  <si>
    <r>
      <rPr>
        <sz val="10"/>
        <color rgb="FF000000"/>
        <rFont val="WenQuanYi Zen Hei"/>
        <family val="2"/>
      </rPr>
      <t xml:space="preserve">久僧海岸</t>
    </r>
    <r>
      <rPr>
        <sz val="10"/>
        <color rgb="FF000000"/>
        <rFont val="ＭＳ Ｐ明朝"/>
        <family val="0"/>
        <charset val="1"/>
      </rPr>
      <t xml:space="preserve">/</t>
    </r>
    <r>
      <rPr>
        <sz val="10"/>
        <color rgb="FF000000"/>
        <rFont val="WenQuanYi Zen Hei"/>
        <family val="2"/>
      </rPr>
      <t xml:space="preserve">吉野川河口 定期観測：観測調査作業</t>
    </r>
  </si>
  <si>
    <t xml:space="preserve">宇川 現況既設井堰調査</t>
  </si>
  <si>
    <t xml:space="preserve">現況既設井堰調査：丹後・宇川 丹後町鞍内 １箇所</t>
  </si>
  <si>
    <t xml:space="preserve">吉良係長</t>
  </si>
  <si>
    <t xml:space="preserve">現況既設井堰調査：弥栄・宇川 弥栄町野中他 ３箇所</t>
  </si>
  <si>
    <t xml:space="preserve">新樋越川河口 定期観測：観測調査作業</t>
  </si>
  <si>
    <r>
      <rPr>
        <sz val="10"/>
        <color rgb="FF000000"/>
        <rFont val="WenQuanYi Zen Hei"/>
        <family val="2"/>
      </rPr>
      <t xml:space="preserve">定期観測報告書</t>
    </r>
    <r>
      <rPr>
        <sz val="10"/>
        <color rgb="FF000000"/>
        <rFont val="ＭＳ Ｐ明朝"/>
        <family val="0"/>
        <charset val="1"/>
      </rPr>
      <t xml:space="preserve">(</t>
    </r>
    <r>
      <rPr>
        <sz val="10"/>
        <color rgb="FF000000"/>
        <rFont val="WenQuanYi Zen Hei"/>
        <family val="2"/>
      </rPr>
      <t xml:space="preserve">施設保全課送付用</t>
    </r>
    <r>
      <rPr>
        <sz val="10"/>
        <color rgb="FF000000"/>
        <rFont val="ＭＳ Ｐ明朝"/>
        <family val="0"/>
        <charset val="1"/>
      </rPr>
      <t xml:space="preserve">)</t>
    </r>
  </si>
  <si>
    <r>
      <rPr>
        <sz val="10"/>
        <color rgb="FF000000"/>
        <rFont val="WenQuanYi Zen Hei"/>
        <family val="2"/>
      </rPr>
      <t xml:space="preserve">井堰調査報告書、変更数量確認</t>
    </r>
    <r>
      <rPr>
        <sz val="10"/>
        <color rgb="FF000000"/>
        <rFont val="ＭＳ Ｐ明朝"/>
        <family val="0"/>
        <charset val="1"/>
      </rPr>
      <t xml:space="preserve">(</t>
    </r>
    <r>
      <rPr>
        <sz val="10"/>
        <color rgb="FF000000"/>
        <rFont val="WenQuanYi Zen Hei"/>
        <family val="2"/>
      </rPr>
      <t xml:space="preserve">久住川他</t>
    </r>
    <r>
      <rPr>
        <sz val="10"/>
        <color rgb="FF000000"/>
        <rFont val="ＭＳ Ｐ明朝"/>
        <family val="0"/>
        <charset val="1"/>
      </rPr>
      <t xml:space="preserve">)</t>
    </r>
  </si>
  <si>
    <r>
      <rPr>
        <sz val="10"/>
        <color rgb="FF000000"/>
        <rFont val="WenQuanYi Zen Hei"/>
        <family val="2"/>
      </rPr>
      <t xml:space="preserve">吉良係長</t>
    </r>
    <r>
      <rPr>
        <sz val="10"/>
        <color rgb="FF000000"/>
        <rFont val="ＭＳ Ｐ明朝"/>
        <family val="0"/>
        <charset val="1"/>
      </rPr>
      <t xml:space="preserve">/</t>
    </r>
    <r>
      <rPr>
        <sz val="10"/>
        <color rgb="FF000000"/>
        <rFont val="WenQuanYi Zen Hei"/>
        <family val="2"/>
      </rPr>
      <t xml:space="preserve">乾技師</t>
    </r>
  </si>
  <si>
    <t xml:space="preserve">木津川河口 定期観測：観測調査作業</t>
  </si>
  <si>
    <r>
      <rPr>
        <sz val="10"/>
        <color rgb="FF000000"/>
        <rFont val="WenQuanYi Zen Hei"/>
        <family val="2"/>
      </rPr>
      <t xml:space="preserve">宇川河口 定期観測：観測調査作業</t>
    </r>
    <r>
      <rPr>
        <sz val="10"/>
        <color rgb="FF000000"/>
        <rFont val="ＭＳ Ｐ明朝"/>
        <family val="0"/>
        <charset val="1"/>
      </rPr>
      <t xml:space="preserve">(</t>
    </r>
    <r>
      <rPr>
        <sz val="10"/>
        <color rgb="FF000000"/>
        <rFont val="WenQuanYi Zen Hei"/>
        <family val="2"/>
      </rPr>
      <t xml:space="preserve">丹後・上野）</t>
    </r>
  </si>
  <si>
    <t xml:space="preserve">木津川河口現況確認：網野町浜詰地内</t>
  </si>
  <si>
    <t xml:space="preserve">新樋越川河口定期観測写真取り纏め</t>
  </si>
  <si>
    <r>
      <rPr>
        <b val="true"/>
        <sz val="10"/>
        <rFont val="WenQuanYi Zen Hei"/>
        <family val="2"/>
      </rPr>
      <t xml:space="preserve">第</t>
    </r>
    <r>
      <rPr>
        <b val="true"/>
        <sz val="10"/>
        <rFont val="ＭＳ Ｐ明朝"/>
        <family val="0"/>
        <charset val="1"/>
      </rPr>
      <t xml:space="preserve">20</t>
    </r>
    <r>
      <rPr>
        <b val="true"/>
        <sz val="10"/>
        <rFont val="WenQuanYi Zen Hei"/>
        <family val="2"/>
      </rPr>
      <t xml:space="preserve">条</t>
    </r>
  </si>
  <si>
    <r>
      <rPr>
        <sz val="10"/>
        <color rgb="FF0000FF"/>
        <rFont val="WenQuanYi Zen Hei"/>
        <family val="2"/>
      </rPr>
      <t xml:space="preserve">第</t>
    </r>
    <r>
      <rPr>
        <sz val="10"/>
        <color rgb="FF0000FF"/>
        <rFont val="ＭＳ Ｐ明朝"/>
        <family val="0"/>
        <charset val="1"/>
      </rPr>
      <t xml:space="preserve">20</t>
    </r>
    <r>
      <rPr>
        <sz val="10"/>
        <color rgb="FF0000FF"/>
        <rFont val="WenQuanYi Zen Hei"/>
        <family val="2"/>
      </rPr>
      <t xml:space="preserve">条</t>
    </r>
  </si>
  <si>
    <t xml:space="preserve">次期発注予定工事</t>
  </si>
  <si>
    <t xml:space="preserve">次期発注予定工事数量拾い出し他</t>
  </si>
  <si>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過年度平図面、数量確認</t>
    </r>
    <r>
      <rPr>
        <sz val="10"/>
        <color rgb="FF000000"/>
        <rFont val="ＭＳ Ｐ明朝"/>
        <family val="0"/>
        <charset val="1"/>
      </rPr>
      <t xml:space="preserve">)</t>
    </r>
  </si>
  <si>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計画図面修正</t>
    </r>
    <r>
      <rPr>
        <sz val="10"/>
        <color rgb="FF000000"/>
        <rFont val="ＭＳ Ｐ明朝"/>
        <family val="0"/>
        <charset val="1"/>
      </rPr>
      <t xml:space="preserve">)</t>
    </r>
  </si>
  <si>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数量計算書作成</t>
    </r>
    <r>
      <rPr>
        <sz val="10"/>
        <color rgb="FF000000"/>
        <rFont val="ＭＳ Ｐ明朝"/>
        <family val="0"/>
        <charset val="1"/>
      </rPr>
      <t xml:space="preserve">)</t>
    </r>
  </si>
  <si>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図面修正作成</t>
    </r>
    <r>
      <rPr>
        <sz val="10"/>
        <color rgb="FF000000"/>
        <rFont val="ＭＳ Ｐ明朝"/>
        <family val="0"/>
        <charset val="1"/>
      </rPr>
      <t xml:space="preserve">)</t>
    </r>
  </si>
  <si>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図面修正</t>
    </r>
    <r>
      <rPr>
        <sz val="10"/>
        <color rgb="FF000000"/>
        <rFont val="ＭＳ Ｐ明朝"/>
        <family val="0"/>
        <charset val="1"/>
      </rPr>
      <t xml:space="preserve">)</t>
    </r>
  </si>
  <si>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図面点検</t>
    </r>
    <r>
      <rPr>
        <sz val="10"/>
        <color rgb="FF000000"/>
        <rFont val="ＭＳ Ｐ明朝"/>
        <family val="0"/>
        <charset val="1"/>
      </rPr>
      <t xml:space="preserve">)</t>
    </r>
  </si>
  <si>
    <r>
      <rPr>
        <sz val="10"/>
        <color rgb="FF000000"/>
        <rFont val="WenQuanYi Zen Hei"/>
        <family val="2"/>
      </rPr>
      <t xml:space="preserve">次期発注予定工事</t>
    </r>
    <r>
      <rPr>
        <sz val="10"/>
        <color rgb="FF000000"/>
        <rFont val="ＭＳ Ｐ明朝"/>
        <family val="0"/>
        <charset val="1"/>
      </rPr>
      <t xml:space="preserve">(</t>
    </r>
    <r>
      <rPr>
        <sz val="10"/>
        <color rgb="FF000000"/>
        <rFont val="WenQuanYi Zen Hei"/>
        <family val="2"/>
      </rPr>
      <t xml:space="preserve">数量表点検修正</t>
    </r>
    <r>
      <rPr>
        <sz val="10"/>
        <color rgb="FF000000"/>
        <rFont val="ＭＳ Ｐ明朝"/>
        <family val="0"/>
        <charset val="1"/>
      </rPr>
      <t xml:space="preserve">)</t>
    </r>
  </si>
  <si>
    <r>
      <rPr>
        <sz val="9"/>
        <rFont val="WenQuanYi Zen Hei"/>
        <family val="2"/>
      </rPr>
      <t xml:space="preserve">※ 出典：業務処理結果報告書（令和</t>
    </r>
    <r>
      <rPr>
        <sz val="9"/>
        <rFont val="ＭＳ Ｐ明朝"/>
        <family val="0"/>
        <charset val="1"/>
      </rPr>
      <t xml:space="preserve">8</t>
    </r>
    <r>
      <rPr>
        <sz val="9"/>
        <rFont val="WenQuanYi Zen Hei"/>
        <family val="2"/>
      </rPr>
      <t xml:space="preserve">年</t>
    </r>
    <r>
      <rPr>
        <sz val="9"/>
        <rFont val="ＭＳ Ｐ明朝"/>
        <family val="0"/>
        <charset val="1"/>
      </rPr>
      <t xml:space="preserve">7</t>
    </r>
    <r>
      <rPr>
        <sz val="9"/>
        <rFont val="WenQuanYi Zen Hei"/>
        <family val="2"/>
      </rPr>
      <t xml:space="preserve">月分 №</t>
    </r>
    <r>
      <rPr>
        <sz val="9"/>
        <rFont val="ＭＳ Ｐ明朝"/>
        <family val="0"/>
        <charset val="1"/>
      </rPr>
      <t xml:space="preserve">62</t>
    </r>
    <r>
      <rPr>
        <sz val="9"/>
        <rFont val="WenQuanYi Zen Hei"/>
        <family val="2"/>
      </rPr>
      <t xml:space="preserve">～№</t>
    </r>
    <r>
      <rPr>
        <sz val="9"/>
        <rFont val="ＭＳ Ｐ明朝"/>
        <family val="0"/>
        <charset val="1"/>
      </rPr>
      <t xml:space="preserve">83</t>
    </r>
    <r>
      <rPr>
        <sz val="9"/>
        <rFont val="WenQuanYi Zen Hei"/>
        <family val="2"/>
      </rPr>
      <t xml:space="preserve">）の記載内容を、現場技術業務委託共通仕様書の条文ごとに再整理したもの。</t>
    </r>
  </si>
  <si>
    <r>
      <rPr>
        <sz val="9"/>
        <rFont val="WenQuanYi Zen Hei"/>
        <family val="2"/>
      </rPr>
      <t xml:space="preserve">※ 業務内容打合せ・翌日作業打合せ・業務処理結果報告書作成の日常定型業務は第</t>
    </r>
    <r>
      <rPr>
        <sz val="9"/>
        <rFont val="ＭＳ Ｐ明朝"/>
        <family val="0"/>
        <charset val="1"/>
      </rPr>
      <t xml:space="preserve">5</t>
    </r>
    <r>
      <rPr>
        <sz val="9"/>
        <rFont val="WenQuanYi Zen Hei"/>
        <family val="2"/>
      </rPr>
      <t xml:space="preserve">条として</t>
    </r>
    <r>
      <rPr>
        <sz val="9"/>
        <rFont val="ＭＳ Ｐ明朝"/>
        <family val="0"/>
        <charset val="1"/>
      </rPr>
      <t xml:space="preserve">1</t>
    </r>
    <r>
      <rPr>
        <sz val="9"/>
        <rFont val="WenQuanYi Zen Hei"/>
        <family val="2"/>
      </rPr>
      <t xml:space="preserve">日</t>
    </r>
    <r>
      <rPr>
        <sz val="9"/>
        <rFont val="ＭＳ Ｐ明朝"/>
        <family val="0"/>
        <charset val="1"/>
      </rPr>
      <t xml:space="preserve">1</t>
    </r>
    <r>
      <rPr>
        <sz val="9"/>
        <rFont val="WenQuanYi Zen Hei"/>
        <family val="2"/>
      </rPr>
      <t xml:space="preserve">行に集約。</t>
    </r>
  </si>
  <si>
    <r>
      <rPr>
        <sz val="9"/>
        <rFont val="ＭＳ Ｐ明朝"/>
        <family val="0"/>
        <charset val="1"/>
      </rPr>
      <t xml:space="preserve">※ A</t>
    </r>
    <r>
      <rPr>
        <sz val="9"/>
        <rFont val="WenQuanYi Zen Hei"/>
        <family val="2"/>
      </rPr>
      <t xml:space="preserve">列「条文番号」（青字）が振分け先。見出し・条文要旨は「条文マスタ」シートから参照。振分けを変更する場合は</t>
    </r>
    <r>
      <rPr>
        <sz val="9"/>
        <rFont val="ＭＳ Ｐ明朝"/>
        <family val="0"/>
        <charset val="1"/>
      </rPr>
      <t xml:space="preserve">A</t>
    </r>
    <r>
      <rPr>
        <sz val="9"/>
        <rFont val="WenQuanYi Zen Hei"/>
        <family val="2"/>
      </rPr>
      <t xml:space="preserve">列を書き換え、「条文別集計」に自動反映。</t>
    </r>
  </si>
  <si>
    <r>
      <rPr>
        <b val="true"/>
        <sz val="14"/>
        <rFont val="WenQuanYi Zen Hei"/>
        <family val="2"/>
      </rPr>
      <t xml:space="preserve">条文別 実施件数集計表（令和</t>
    </r>
    <r>
      <rPr>
        <b val="true"/>
        <sz val="14"/>
        <rFont val="ＭＳ Ｐ明朝"/>
        <family val="0"/>
        <charset val="1"/>
      </rPr>
      <t xml:space="preserve">8</t>
    </r>
    <r>
      <rPr>
        <b val="true"/>
        <sz val="14"/>
        <rFont val="WenQuanYi Zen Hei"/>
        <family val="2"/>
      </rPr>
      <t xml:space="preserve">年</t>
    </r>
    <r>
      <rPr>
        <b val="true"/>
        <sz val="14"/>
        <rFont val="ＭＳ Ｐ明朝"/>
        <family val="0"/>
        <charset val="1"/>
      </rPr>
      <t xml:space="preserve">7</t>
    </r>
    <r>
      <rPr>
        <b val="true"/>
        <sz val="14"/>
        <rFont val="WenQuanYi Zen Hei"/>
        <family val="2"/>
      </rPr>
      <t xml:space="preserve">月分）</t>
    </r>
  </si>
  <si>
    <r>
      <rPr>
        <sz val="9"/>
        <rFont val="WenQuanYi Zen Hei"/>
        <family val="2"/>
      </rPr>
      <t xml:space="preserve">「条文別整理表」の件数を</t>
    </r>
    <r>
      <rPr>
        <sz val="9"/>
        <rFont val="ＭＳ Ｐ明朝"/>
        <family val="0"/>
        <charset val="1"/>
      </rPr>
      <t xml:space="preserve">COUNTIFS</t>
    </r>
    <r>
      <rPr>
        <sz val="9"/>
        <rFont val="WenQuanYi Zen Hei"/>
        <family val="2"/>
      </rPr>
      <t xml:space="preserve">で集計（件数＝整理表の行数）。</t>
    </r>
  </si>
  <si>
    <t xml:space="preserve">章</t>
  </si>
  <si>
    <t xml:space="preserve">合計件数</t>
  </si>
  <si>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(1)</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</si>
  <si>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(4)</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</si>
  <si>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(5)</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</si>
  <si>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3</t>
    </r>
    <r>
      <rPr>
        <sz val="9"/>
        <rFont val="WenQuanYi Zen Hei"/>
        <family val="2"/>
      </rPr>
      <t xml:space="preserve">項</t>
    </r>
    <r>
      <rPr>
        <sz val="9"/>
        <rFont val="ＭＳ Ｐ明朝"/>
        <family val="0"/>
        <charset val="1"/>
      </rPr>
      <t xml:space="preserve">(6)</t>
    </r>
  </si>
  <si>
    <r>
      <rPr>
        <sz val="9"/>
        <rFont val="WenQuanYi Zen Hei"/>
        <family val="2"/>
      </rPr>
      <t xml:space="preserve">第</t>
    </r>
    <r>
      <rPr>
        <sz val="9"/>
        <rFont val="ＭＳ Ｐ明朝"/>
        <family val="0"/>
        <charset val="1"/>
      </rPr>
      <t xml:space="preserve">3</t>
    </r>
    <r>
      <rPr>
        <sz val="9"/>
        <rFont val="WenQuanYi Zen Hei"/>
        <family val="2"/>
      </rPr>
      <t xml:space="preserve">条第</t>
    </r>
    <r>
      <rPr>
        <sz val="9"/>
        <rFont val="ＭＳ Ｐ明朝"/>
        <family val="0"/>
        <charset val="1"/>
      </rPr>
      <t xml:space="preserve">4</t>
    </r>
    <r>
      <rPr>
        <sz val="9"/>
        <rFont val="WenQuanYi Zen Hei"/>
        <family val="2"/>
      </rPr>
      <t xml:space="preserve">項</t>
    </r>
  </si>
  <si>
    <r>
      <rPr>
        <sz val="9"/>
        <rFont val="WenQuanYi Zen Hei"/>
        <family val="2"/>
      </rPr>
      <t xml:space="preserve">第</t>
    </r>
    <r>
      <rPr>
        <sz val="9"/>
        <rFont val="ＭＳ Ｐ明朝"/>
        <family val="0"/>
        <charset val="1"/>
      </rPr>
      <t xml:space="preserve">5</t>
    </r>
    <r>
      <rPr>
        <sz val="9"/>
        <rFont val="WenQuanYi Zen Hei"/>
        <family val="2"/>
      </rPr>
      <t xml:space="preserve">条</t>
    </r>
  </si>
  <si>
    <r>
      <rPr>
        <sz val="9"/>
        <rFont val="WenQuanYi Zen Hei"/>
        <family val="2"/>
      </rPr>
      <t xml:space="preserve">第</t>
    </r>
    <r>
      <rPr>
        <sz val="9"/>
        <rFont val="ＭＳ Ｐ明朝"/>
        <family val="0"/>
        <charset val="1"/>
      </rPr>
      <t xml:space="preserve">6</t>
    </r>
    <r>
      <rPr>
        <sz val="9"/>
        <rFont val="WenQuanYi Zen Hei"/>
        <family val="2"/>
      </rPr>
      <t xml:space="preserve">条</t>
    </r>
  </si>
  <si>
    <r>
      <rPr>
        <sz val="9"/>
        <rFont val="WenQuanYi Zen Hei"/>
        <family val="2"/>
      </rPr>
      <t xml:space="preserve">第</t>
    </r>
    <r>
      <rPr>
        <sz val="9"/>
        <rFont val="ＭＳ Ｐ明朝"/>
        <family val="0"/>
        <charset val="1"/>
      </rPr>
      <t xml:space="preserve">7</t>
    </r>
    <r>
      <rPr>
        <sz val="9"/>
        <rFont val="WenQuanYi Zen Hei"/>
        <family val="2"/>
      </rPr>
      <t xml:space="preserve">条</t>
    </r>
  </si>
  <si>
    <r>
      <rPr>
        <sz val="9"/>
        <rFont val="WenQuanYi Zen Hei"/>
        <family val="2"/>
      </rPr>
      <t xml:space="preserve">第</t>
    </r>
    <r>
      <rPr>
        <sz val="9"/>
        <rFont val="ＭＳ Ｐ明朝"/>
        <family val="0"/>
        <charset val="1"/>
      </rPr>
      <t xml:space="preserve">8</t>
    </r>
    <r>
      <rPr>
        <sz val="9"/>
        <rFont val="WenQuanYi Zen Hei"/>
        <family val="2"/>
      </rPr>
      <t xml:space="preserve">条</t>
    </r>
  </si>
  <si>
    <r>
      <rPr>
        <sz val="9"/>
        <rFont val="WenQuanYi Zen Hei"/>
        <family val="2"/>
      </rPr>
      <t xml:space="preserve">第</t>
    </r>
    <r>
      <rPr>
        <sz val="9"/>
        <rFont val="ＭＳ Ｐ明朝"/>
        <family val="0"/>
        <charset val="1"/>
      </rPr>
      <t xml:space="preserve">9</t>
    </r>
    <r>
      <rPr>
        <sz val="9"/>
        <rFont val="WenQuanYi Zen Hei"/>
        <family val="2"/>
      </rPr>
      <t xml:space="preserve">条</t>
    </r>
  </si>
  <si>
    <r>
      <rPr>
        <sz val="9"/>
        <rFont val="WenQuanYi Zen Hei"/>
        <family val="2"/>
      </rPr>
      <t xml:space="preserve">第</t>
    </r>
    <r>
      <rPr>
        <sz val="9"/>
        <rFont val="ＭＳ Ｐ明朝"/>
        <family val="0"/>
        <charset val="1"/>
      </rPr>
      <t xml:space="preserve">10</t>
    </r>
    <r>
      <rPr>
        <sz val="9"/>
        <rFont val="WenQuanYi Zen Hei"/>
        <family val="2"/>
      </rPr>
      <t xml:space="preserve">条</t>
    </r>
  </si>
  <si>
    <r>
      <rPr>
        <sz val="9"/>
        <rFont val="WenQuanYi Zen Hei"/>
        <family val="2"/>
      </rPr>
      <t xml:space="preserve">第</t>
    </r>
    <r>
      <rPr>
        <sz val="9"/>
        <rFont val="ＭＳ Ｐ明朝"/>
        <family val="0"/>
        <charset val="1"/>
      </rPr>
      <t xml:space="preserve">11</t>
    </r>
    <r>
      <rPr>
        <sz val="9"/>
        <rFont val="WenQuanYi Zen Hei"/>
        <family val="2"/>
      </rPr>
      <t xml:space="preserve">条</t>
    </r>
  </si>
  <si>
    <r>
      <rPr>
        <sz val="9"/>
        <rFont val="WenQuanYi Zen Hei"/>
        <family val="2"/>
      </rPr>
      <t xml:space="preserve">第</t>
    </r>
    <r>
      <rPr>
        <sz val="9"/>
        <rFont val="ＭＳ Ｐ明朝"/>
        <family val="0"/>
        <charset val="1"/>
      </rPr>
      <t xml:space="preserve">12</t>
    </r>
    <r>
      <rPr>
        <sz val="9"/>
        <rFont val="WenQuanYi Zen Hei"/>
        <family val="2"/>
      </rPr>
      <t xml:space="preserve">条</t>
    </r>
  </si>
  <si>
    <r>
      <rPr>
        <sz val="9"/>
        <rFont val="WenQuanYi Zen Hei"/>
        <family val="2"/>
      </rPr>
      <t xml:space="preserve">第</t>
    </r>
    <r>
      <rPr>
        <sz val="9"/>
        <rFont val="ＭＳ Ｐ明朝"/>
        <family val="0"/>
        <charset val="1"/>
      </rPr>
      <t xml:space="preserve">13</t>
    </r>
    <r>
      <rPr>
        <sz val="9"/>
        <rFont val="WenQuanYi Zen Hei"/>
        <family val="2"/>
      </rPr>
      <t xml:space="preserve">条</t>
    </r>
  </si>
  <si>
    <r>
      <rPr>
        <sz val="9"/>
        <rFont val="WenQuanYi Zen Hei"/>
        <family val="2"/>
      </rPr>
      <t xml:space="preserve">第</t>
    </r>
    <r>
      <rPr>
        <sz val="9"/>
        <rFont val="ＭＳ Ｐ明朝"/>
        <family val="0"/>
        <charset val="1"/>
      </rPr>
      <t xml:space="preserve">14</t>
    </r>
    <r>
      <rPr>
        <sz val="9"/>
        <rFont val="WenQuanYi Zen Hei"/>
        <family val="2"/>
      </rPr>
      <t xml:space="preserve">条</t>
    </r>
  </si>
  <si>
    <r>
      <rPr>
        <sz val="9"/>
        <rFont val="WenQuanYi Zen Hei"/>
        <family val="2"/>
      </rPr>
      <t xml:space="preserve">第</t>
    </r>
    <r>
      <rPr>
        <sz val="9"/>
        <rFont val="ＭＳ Ｐ明朝"/>
        <family val="0"/>
        <charset val="1"/>
      </rPr>
      <t xml:space="preserve">15</t>
    </r>
    <r>
      <rPr>
        <sz val="9"/>
        <rFont val="WenQuanYi Zen Hei"/>
        <family val="2"/>
      </rPr>
      <t xml:space="preserve">条</t>
    </r>
  </si>
  <si>
    <r>
      <rPr>
        <sz val="9"/>
        <rFont val="WenQuanYi Zen Hei"/>
        <family val="2"/>
      </rPr>
      <t xml:space="preserve">第</t>
    </r>
    <r>
      <rPr>
        <sz val="9"/>
        <rFont val="ＭＳ Ｐ明朝"/>
        <family val="0"/>
        <charset val="1"/>
      </rPr>
      <t xml:space="preserve">16</t>
    </r>
    <r>
      <rPr>
        <sz val="9"/>
        <rFont val="WenQuanYi Zen Hei"/>
        <family val="2"/>
      </rPr>
      <t xml:space="preserve">条</t>
    </r>
  </si>
  <si>
    <r>
      <rPr>
        <sz val="9"/>
        <rFont val="WenQuanYi Zen Hei"/>
        <family val="2"/>
      </rPr>
      <t xml:space="preserve">第</t>
    </r>
    <r>
      <rPr>
        <sz val="9"/>
        <rFont val="ＭＳ Ｐ明朝"/>
        <family val="0"/>
        <charset val="1"/>
      </rPr>
      <t xml:space="preserve">17</t>
    </r>
    <r>
      <rPr>
        <sz val="9"/>
        <rFont val="WenQuanYi Zen Hei"/>
        <family val="2"/>
      </rPr>
      <t xml:space="preserve">条</t>
    </r>
  </si>
  <si>
    <r>
      <rPr>
        <sz val="9"/>
        <rFont val="WenQuanYi Zen Hei"/>
        <family val="2"/>
      </rPr>
      <t xml:space="preserve">第</t>
    </r>
    <r>
      <rPr>
        <sz val="9"/>
        <rFont val="ＭＳ Ｐ明朝"/>
        <family val="0"/>
        <charset val="1"/>
      </rPr>
      <t xml:space="preserve">19</t>
    </r>
    <r>
      <rPr>
        <sz val="9"/>
        <rFont val="WenQuanYi Zen Hei"/>
        <family val="2"/>
      </rPr>
      <t xml:space="preserve">条</t>
    </r>
  </si>
  <si>
    <r>
      <rPr>
        <sz val="9"/>
        <rFont val="WenQuanYi Zen Hei"/>
        <family val="2"/>
      </rPr>
      <t xml:space="preserve">第</t>
    </r>
    <r>
      <rPr>
        <sz val="9"/>
        <rFont val="ＭＳ Ｐ明朝"/>
        <family val="0"/>
        <charset val="1"/>
      </rPr>
      <t xml:space="preserve">20</t>
    </r>
    <r>
      <rPr>
        <sz val="9"/>
        <rFont val="WenQuanYi Zen Hei"/>
        <family val="2"/>
      </rPr>
      <t xml:space="preserve">条</t>
    </r>
  </si>
  <si>
    <r>
      <rPr>
        <sz val="9"/>
        <rFont val="WenQuanYi Zen Hei"/>
        <family val="2"/>
      </rPr>
      <t xml:space="preserve">※ 合計行の「実施日数」は</t>
    </r>
    <r>
      <rPr>
        <sz val="9"/>
        <rFont val="ＭＳ Ｐ明朝"/>
        <family val="0"/>
        <charset val="1"/>
      </rPr>
      <t xml:space="preserve">7</t>
    </r>
    <r>
      <rPr>
        <sz val="9"/>
        <rFont val="WenQuanYi Zen Hei"/>
        <family val="2"/>
      </rPr>
      <t xml:space="preserve">月の業務実施日数（履行日数）。「－」は当月該当業務なし。</t>
    </r>
  </si>
  <si>
    <t xml:space="preserve">条文マスタ（現場技術業務委託共通仕様書 条文一覧）</t>
  </si>
  <si>
    <r>
      <rPr>
        <sz val="9"/>
        <rFont val="WenQuanYi Zen Hei"/>
        <family val="2"/>
      </rPr>
      <t xml:space="preserve">出典：現場技術業務委託共通仕様書（京都府、令和元年</t>
    </r>
    <r>
      <rPr>
        <sz val="9"/>
        <rFont val="ＭＳ Ｐ明朝"/>
        <family val="0"/>
        <charset val="1"/>
      </rPr>
      <t xml:space="preserve">8</t>
    </r>
    <r>
      <rPr>
        <sz val="9"/>
        <rFont val="WenQuanYi Zen Hei"/>
        <family val="2"/>
      </rPr>
      <t xml:space="preserve">月</t>
    </r>
    <r>
      <rPr>
        <sz val="9"/>
        <rFont val="ＭＳ Ｐ明朝"/>
        <family val="0"/>
        <charset val="1"/>
      </rPr>
      <t xml:space="preserve">20</t>
    </r>
    <r>
      <rPr>
        <sz val="9"/>
        <rFont val="WenQuanYi Zen Hei"/>
        <family val="2"/>
      </rPr>
      <t xml:space="preserve">日 元指第</t>
    </r>
    <r>
      <rPr>
        <sz val="9"/>
        <rFont val="ＭＳ Ｐ明朝"/>
        <family val="0"/>
        <charset val="1"/>
      </rPr>
      <t xml:space="preserve">486</t>
    </r>
    <r>
      <rPr>
        <sz val="9"/>
        <rFont val="WenQuanYi Zen Hei"/>
        <family val="2"/>
      </rPr>
      <t xml:space="preserve">号 最終改正）別添</t>
    </r>
    <r>
      <rPr>
        <sz val="9"/>
        <rFont val="ＭＳ Ｐ明朝"/>
        <family val="0"/>
        <charset val="1"/>
      </rPr>
      <t xml:space="preserve">2 </t>
    </r>
    <r>
      <rPr>
        <sz val="9"/>
        <rFont val="WenQuanYi Zen Hei"/>
        <family val="2"/>
      </rPr>
      <t xml:space="preserve">及び 現場技術業務 特記仕様書。条文要旨は原文を要約したもの。</t>
    </r>
  </si>
  <si>
    <t xml:space="preserve">条文要旨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</si>
  <si>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(1)</t>
    </r>
  </si>
  <si>
    <r>
      <rPr>
        <sz val="10"/>
        <rFont val="WenQuanYi Zen Hei"/>
        <family val="2"/>
      </rPr>
      <t xml:space="preserve">第</t>
    </r>
    <r>
      <rPr>
        <sz val="10"/>
        <rFont val="ＭＳ Ｐ明朝"/>
        <family val="0"/>
        <charset val="1"/>
      </rPr>
      <t xml:space="preserve">1</t>
    </r>
    <r>
      <rPr>
        <sz val="10"/>
        <rFont val="WenQuanYi Zen Hei"/>
        <family val="2"/>
      </rPr>
      <t xml:space="preserve">章 総則</t>
    </r>
  </si>
  <si>
    <t xml:space="preserve">管理技術者等（監督に関する業務の厳正な実施）</t>
  </si>
  <si>
    <t xml:space="preserve">必要な監督に関する業務を厳正に実施すること。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</si>
  <si>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(4)</t>
    </r>
  </si>
  <si>
    <t xml:space="preserve">管理技術者等（工事請負者等への連絡・通知）</t>
  </si>
  <si>
    <t xml:space="preserve">工事請負者又は外部への連絡若しくは通知を行う場合には、その内容を相手に正確に伝えること。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</si>
  <si>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(5)</t>
    </r>
  </si>
  <si>
    <t xml:space="preserve">管理技術者等（設計図書の理解・現場状況の精通）</t>
  </si>
  <si>
    <t xml:space="preserve">請負工事の契約書及び設計図書等の内容を十分理解し、更に工事現場の状況についても精通しておくこと。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</si>
  <si>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(6)</t>
    </r>
  </si>
  <si>
    <t xml:space="preserve">管理技術者等（図書の整理）</t>
  </si>
  <si>
    <t xml:space="preserve">業務の実施にあたっては、業務に関する図書を適切に整理しておくこと。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</si>
  <si>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4</t>
    </r>
    <r>
      <rPr>
        <sz val="10"/>
        <rFont val="WenQuanYi Zen Hei"/>
        <family val="2"/>
      </rPr>
      <t xml:space="preserve">項</t>
    </r>
  </si>
  <si>
    <t xml:space="preserve">管理技術者等（監督職員との打合せ・協議）</t>
  </si>
  <si>
    <r>
      <rPr>
        <sz val="10"/>
        <rFont val="WenQuanYi Zen Hei"/>
        <family val="2"/>
      </rPr>
      <t xml:space="preserve">管理技術者は、特記仕様書に定めるところにより監督職員と打合せ・協議を行い、その結果について相互に確認する（特記仕様書：着手時及び最終時の計</t>
    </r>
    <r>
      <rPr>
        <sz val="10"/>
        <rFont val="ＭＳ Ｐ明朝"/>
        <family val="0"/>
        <charset val="1"/>
      </rPr>
      <t xml:space="preserve">2</t>
    </r>
    <r>
      <rPr>
        <sz val="10"/>
        <rFont val="WenQuanYi Zen Hei"/>
        <family val="2"/>
      </rPr>
      <t xml:space="preserve">回）。</t>
    </r>
  </si>
  <si>
    <r>
      <rPr>
        <sz val="10"/>
        <rFont val="WenQuanYi Zen Hei"/>
        <family val="2"/>
      </rPr>
      <t xml:space="preserve">第</t>
    </r>
    <r>
      <rPr>
        <sz val="10"/>
        <rFont val="ＭＳ Ｐ明朝"/>
        <family val="0"/>
        <charset val="1"/>
      </rPr>
      <t xml:space="preserve">5</t>
    </r>
    <r>
      <rPr>
        <sz val="10"/>
        <rFont val="WenQuanYi Zen Hei"/>
        <family val="2"/>
      </rPr>
      <t xml:space="preserve">条</t>
    </r>
  </si>
  <si>
    <t xml:space="preserve">業務処理予定表及び結果報告書</t>
  </si>
  <si>
    <t xml:space="preserve">業務処理予定表及び業務処理結果報告書（実施した業務の内容、その他必要事項）を作成し、監督職員に提出する。</t>
  </si>
  <si>
    <r>
      <rPr>
        <sz val="10"/>
        <rFont val="WenQuanYi Zen Hei"/>
        <family val="2"/>
      </rPr>
      <t xml:space="preserve">第</t>
    </r>
    <r>
      <rPr>
        <sz val="10"/>
        <rFont val="ＭＳ Ｐ明朝"/>
        <family val="0"/>
        <charset val="1"/>
      </rPr>
      <t xml:space="preserve">6</t>
    </r>
    <r>
      <rPr>
        <sz val="10"/>
        <rFont val="WenQuanYi Zen Hei"/>
        <family val="2"/>
      </rPr>
      <t xml:space="preserve">条</t>
    </r>
  </si>
  <si>
    <t xml:space="preserve">業務完了時の提出書類</t>
  </si>
  <si>
    <t xml:space="preserve">業務完了時に、業務処理結果報告書を一括整理して提出する。</t>
  </si>
  <si>
    <r>
      <rPr>
        <sz val="10"/>
        <rFont val="WenQuanYi Zen Hei"/>
        <family val="2"/>
      </rPr>
      <t xml:space="preserve">第</t>
    </r>
    <r>
      <rPr>
        <sz val="10"/>
        <rFont val="ＭＳ Ｐ明朝"/>
        <family val="0"/>
        <charset val="1"/>
      </rPr>
      <t xml:space="preserve">7</t>
    </r>
    <r>
      <rPr>
        <sz val="10"/>
        <rFont val="WenQuanYi Zen Hei"/>
        <family val="2"/>
      </rPr>
      <t xml:space="preserve">条</t>
    </r>
  </si>
  <si>
    <r>
      <rPr>
        <sz val="10"/>
        <rFont val="WenQuanYi Zen Hei"/>
        <family val="2"/>
      </rPr>
      <t xml:space="preserve">第</t>
    </r>
    <r>
      <rPr>
        <sz val="10"/>
        <rFont val="ＭＳ Ｐ明朝"/>
        <family val="0"/>
        <charset val="1"/>
      </rPr>
      <t xml:space="preserve">2</t>
    </r>
    <r>
      <rPr>
        <sz val="10"/>
        <rFont val="WenQuanYi Zen Hei"/>
        <family val="2"/>
      </rPr>
      <t xml:space="preserve">章 監督に関する現場技術業務</t>
    </r>
  </si>
  <si>
    <t xml:space="preserve">書類の確認</t>
  </si>
  <si>
    <t xml:space="preserve">工事請負者から提出された書類は、これを確認し監督職員に報告しなければならない。</t>
  </si>
  <si>
    <r>
      <rPr>
        <sz val="10"/>
        <rFont val="WenQuanYi Zen Hei"/>
        <family val="2"/>
      </rPr>
      <t xml:space="preserve">第</t>
    </r>
    <r>
      <rPr>
        <sz val="10"/>
        <rFont val="ＭＳ Ｐ明朝"/>
        <family val="0"/>
        <charset val="1"/>
      </rPr>
      <t xml:space="preserve">8</t>
    </r>
    <r>
      <rPr>
        <sz val="10"/>
        <rFont val="WenQuanYi Zen Hei"/>
        <family val="2"/>
      </rPr>
      <t xml:space="preserve">条</t>
    </r>
  </si>
  <si>
    <t xml:space="preserve">立会</t>
  </si>
  <si>
    <t xml:space="preserve">設計図書に基づき立会いを行った場合は、その結果を書面で監督職員に報告する。</t>
  </si>
  <si>
    <r>
      <rPr>
        <sz val="10"/>
        <rFont val="WenQuanYi Zen Hei"/>
        <family val="2"/>
      </rPr>
      <t xml:space="preserve">第</t>
    </r>
    <r>
      <rPr>
        <sz val="10"/>
        <rFont val="ＭＳ Ｐ明朝"/>
        <family val="0"/>
        <charset val="1"/>
      </rPr>
      <t xml:space="preserve">9</t>
    </r>
    <r>
      <rPr>
        <sz val="10"/>
        <rFont val="WenQuanYi Zen Hei"/>
        <family val="2"/>
      </rPr>
      <t xml:space="preserve">条</t>
    </r>
  </si>
  <si>
    <t xml:space="preserve">検測</t>
  </si>
  <si>
    <t xml:space="preserve">請負工事の施工が設計図書に示す所定の出来形及び品質を確保するため現地で検測を行い、その成果を監督職員に提出する。</t>
  </si>
  <si>
    <r>
      <rPr>
        <sz val="10"/>
        <rFont val="WenQuanYi Zen Hei"/>
        <family val="2"/>
      </rPr>
      <t xml:space="preserve">第</t>
    </r>
    <r>
      <rPr>
        <sz val="10"/>
        <rFont val="ＭＳ Ｐ明朝"/>
        <family val="0"/>
        <charset val="1"/>
      </rPr>
      <t xml:space="preserve">10</t>
    </r>
    <r>
      <rPr>
        <sz val="10"/>
        <rFont val="WenQuanYi Zen Hei"/>
        <family val="2"/>
      </rPr>
      <t xml:space="preserve">条</t>
    </r>
  </si>
  <si>
    <t xml:space="preserve">材料検査</t>
  </si>
  <si>
    <t xml:space="preserve">材料検査を実施したときは、検査年月日・品名・寸法等・検査数量・検査結果及び合格数量等を付記して監督職員に提出する。</t>
  </si>
  <si>
    <r>
      <rPr>
        <sz val="10"/>
        <rFont val="WenQuanYi Zen Hei"/>
        <family val="2"/>
      </rPr>
      <t xml:space="preserve">第</t>
    </r>
    <r>
      <rPr>
        <sz val="10"/>
        <rFont val="ＭＳ Ｐ明朝"/>
        <family val="0"/>
        <charset val="1"/>
      </rPr>
      <t xml:space="preserve">11</t>
    </r>
    <r>
      <rPr>
        <sz val="10"/>
        <rFont val="WenQuanYi Zen Hei"/>
        <family val="2"/>
      </rPr>
      <t xml:space="preserve">条</t>
    </r>
  </si>
  <si>
    <t xml:space="preserve">工程管理</t>
  </si>
  <si>
    <t xml:space="preserve">請負工事の進捗状況を把握し、工事が遅延するおそれがあれば遅滞なく書面で監督職員に報告する。</t>
  </si>
  <si>
    <r>
      <rPr>
        <sz val="10"/>
        <rFont val="WenQuanYi Zen Hei"/>
        <family val="2"/>
      </rPr>
      <t xml:space="preserve">第</t>
    </r>
    <r>
      <rPr>
        <sz val="10"/>
        <rFont val="ＭＳ Ｐ明朝"/>
        <family val="0"/>
        <charset val="1"/>
      </rPr>
      <t xml:space="preserve">12</t>
    </r>
    <r>
      <rPr>
        <sz val="10"/>
        <rFont val="WenQuanYi Zen Hei"/>
        <family val="2"/>
      </rPr>
      <t xml:space="preserve">条</t>
    </r>
  </si>
  <si>
    <t xml:space="preserve">品質管理</t>
  </si>
  <si>
    <t xml:space="preserve">工事受注者が仕様書に定められた品質管理試験を忠実に実行しているか確認し、その結果を書面で報告する。</t>
  </si>
  <si>
    <r>
      <rPr>
        <sz val="10"/>
        <rFont val="WenQuanYi Zen Hei"/>
        <family val="2"/>
      </rPr>
      <t xml:space="preserve">第</t>
    </r>
    <r>
      <rPr>
        <sz val="10"/>
        <rFont val="ＭＳ Ｐ明朝"/>
        <family val="0"/>
        <charset val="1"/>
      </rPr>
      <t xml:space="preserve">13</t>
    </r>
    <r>
      <rPr>
        <sz val="10"/>
        <rFont val="WenQuanYi Zen Hei"/>
        <family val="2"/>
      </rPr>
      <t xml:space="preserve">条</t>
    </r>
  </si>
  <si>
    <t xml:space="preserve">図面と現地の不一致等</t>
  </si>
  <si>
    <t xml:space="preserve">設計図書と工事現場の状態の不一致等の通知を受けたときは、遅滞なく書面で監督職員に報告する。</t>
  </si>
  <si>
    <r>
      <rPr>
        <sz val="10"/>
        <rFont val="WenQuanYi Zen Hei"/>
        <family val="2"/>
      </rPr>
      <t xml:space="preserve">第</t>
    </r>
    <r>
      <rPr>
        <sz val="10"/>
        <rFont val="ＭＳ Ｐ明朝"/>
        <family val="0"/>
        <charset val="1"/>
      </rPr>
      <t xml:space="preserve">14</t>
    </r>
    <r>
      <rPr>
        <sz val="10"/>
        <rFont val="WenQuanYi Zen Hei"/>
        <family val="2"/>
      </rPr>
      <t xml:space="preserve">条</t>
    </r>
  </si>
  <si>
    <t xml:space="preserve">検査の立会</t>
  </si>
  <si>
    <t xml:space="preserve">請負工事に係る工事検査及び監督職員が行う検査に立会い、求められる説明に応じる。</t>
  </si>
  <si>
    <r>
      <rPr>
        <sz val="10"/>
        <rFont val="WenQuanYi Zen Hei"/>
        <family val="2"/>
      </rPr>
      <t xml:space="preserve">第</t>
    </r>
    <r>
      <rPr>
        <sz val="10"/>
        <rFont val="ＭＳ Ｐ明朝"/>
        <family val="0"/>
        <charset val="1"/>
      </rPr>
      <t xml:space="preserve">15</t>
    </r>
    <r>
      <rPr>
        <sz val="10"/>
        <rFont val="WenQuanYi Zen Hei"/>
        <family val="2"/>
      </rPr>
      <t xml:space="preserve">条</t>
    </r>
  </si>
  <si>
    <t xml:space="preserve">設計変更工事検査等に関する図書</t>
  </si>
  <si>
    <t xml:space="preserve">監督職員と協議のうえ、設計変更、工事完成検査若しくは既済部分検査等に必要な測量、測定又は図書等の資料作成を行う。</t>
  </si>
  <si>
    <r>
      <rPr>
        <sz val="10"/>
        <rFont val="WenQuanYi Zen Hei"/>
        <family val="2"/>
      </rPr>
      <t xml:space="preserve">第</t>
    </r>
    <r>
      <rPr>
        <sz val="10"/>
        <rFont val="ＭＳ Ｐ明朝"/>
        <family val="0"/>
        <charset val="1"/>
      </rPr>
      <t xml:space="preserve">16</t>
    </r>
    <r>
      <rPr>
        <sz val="10"/>
        <rFont val="WenQuanYi Zen Hei"/>
        <family val="2"/>
      </rPr>
      <t xml:space="preserve">条</t>
    </r>
  </si>
  <si>
    <t xml:space="preserve">対外接渉に関する資料</t>
  </si>
  <si>
    <t xml:space="preserve">監督職員と協議の上、地元若しくは関係機関等との接渉に必要な測量、調査又は資料の作成を行う。</t>
  </si>
  <si>
    <r>
      <rPr>
        <sz val="10"/>
        <rFont val="WenQuanYi Zen Hei"/>
        <family val="2"/>
      </rPr>
      <t xml:space="preserve">第</t>
    </r>
    <r>
      <rPr>
        <sz val="10"/>
        <rFont val="ＭＳ Ｐ明朝"/>
        <family val="0"/>
        <charset val="1"/>
      </rPr>
      <t xml:space="preserve">17</t>
    </r>
    <r>
      <rPr>
        <sz val="10"/>
        <rFont val="WenQuanYi Zen Hei"/>
        <family val="2"/>
      </rPr>
      <t xml:space="preserve">条</t>
    </r>
  </si>
  <si>
    <t xml:space="preserve">書面での報告</t>
  </si>
  <si>
    <r>
      <rPr>
        <sz val="10"/>
        <rFont val="WenQuanYi Zen Hei"/>
        <family val="2"/>
      </rPr>
      <t xml:space="preserve">第</t>
    </r>
    <r>
      <rPr>
        <sz val="10"/>
        <rFont val="ＭＳ Ｐ明朝"/>
        <family val="0"/>
        <charset val="1"/>
      </rPr>
      <t xml:space="preserve">2</t>
    </r>
    <r>
      <rPr>
        <sz val="10"/>
        <rFont val="WenQuanYi Zen Hei"/>
        <family val="2"/>
      </rPr>
      <t xml:space="preserve">章の各条にいう書面での監督職員に対する報告は、業務処理結果報告書による。</t>
    </r>
  </si>
  <si>
    <r>
      <rPr>
        <sz val="10"/>
        <rFont val="WenQuanYi Zen Hei"/>
        <family val="2"/>
      </rPr>
      <t xml:space="preserve">第</t>
    </r>
    <r>
      <rPr>
        <sz val="10"/>
        <rFont val="ＭＳ Ｐ明朝"/>
        <family val="0"/>
        <charset val="1"/>
      </rPr>
      <t xml:space="preserve">19</t>
    </r>
    <r>
      <rPr>
        <sz val="10"/>
        <rFont val="WenQuanYi Zen Hei"/>
        <family val="2"/>
      </rPr>
      <t xml:space="preserve">条</t>
    </r>
  </si>
  <si>
    <r>
      <rPr>
        <sz val="10"/>
        <rFont val="WenQuanYi Zen Hei"/>
        <family val="2"/>
      </rPr>
      <t xml:space="preserve">第</t>
    </r>
    <r>
      <rPr>
        <sz val="10"/>
        <rFont val="ＭＳ Ｐ明朝"/>
        <family val="0"/>
        <charset val="1"/>
      </rPr>
      <t xml:space="preserve">3</t>
    </r>
    <r>
      <rPr>
        <sz val="10"/>
        <rFont val="WenQuanYi Zen Hei"/>
        <family val="2"/>
      </rPr>
      <t xml:space="preserve">章 設計に関する現場技術業務</t>
    </r>
  </si>
  <si>
    <t xml:space="preserve">設計に必要な調査</t>
  </si>
  <si>
    <t xml:space="preserve">設計に必要な現場条件等の調査を、事前に監督職員と協議の上行い、調査結果は書面で提出する。</t>
  </si>
  <si>
    <r>
      <rPr>
        <sz val="10"/>
        <rFont val="WenQuanYi Zen Hei"/>
        <family val="2"/>
      </rPr>
      <t xml:space="preserve">第</t>
    </r>
    <r>
      <rPr>
        <sz val="10"/>
        <rFont val="ＭＳ Ｐ明朝"/>
        <family val="0"/>
        <charset val="1"/>
      </rPr>
      <t xml:space="preserve">20</t>
    </r>
    <r>
      <rPr>
        <sz val="10"/>
        <rFont val="WenQuanYi Zen Hei"/>
        <family val="2"/>
      </rPr>
      <t xml:space="preserve">条</t>
    </r>
  </si>
  <si>
    <t xml:space="preserve">設計に必要な資料</t>
  </si>
  <si>
    <t xml:space="preserve">設計に必要な図面、数量取りまとめ、各種データの作成等を、事前に監督職員と協議の上行い、結果を書面で提出する。</t>
  </si>
</sst>
</file>

<file path=xl/styles.xml><?xml version="1.0" encoding="utf-8"?>
<styleSheet xmlns="http://schemas.openxmlformats.org/spreadsheetml/2006/main">
  <numFmts count="8">
    <numFmt numFmtId="164" formatCode="General"/>
    <numFmt numFmtId="165" formatCode="0;\-0;\－"/>
    <numFmt numFmtId="166" formatCode="&quot;p.&quot;0"/>
    <numFmt numFmtId="167" formatCode="General"/>
    <numFmt numFmtId="168" formatCode="m\月d\日"/>
    <numFmt numFmtId="169" formatCode="\№0"/>
    <numFmt numFmtId="170" formatCode="m/d"/>
    <numFmt numFmtId="171" formatCode="0;\-0;&quot;&quot;"/>
  </numFmts>
  <fonts count="27">
    <font>
      <sz val="11"/>
      <color theme="1"/>
      <name val="Calibri"/>
      <family val="2"/>
      <charset val="1"/>
    </font>
    <font>
      <sz val="10"/>
      <name val="Arial"/>
      <family val="0"/>
    </font>
    <font>
      <sz val="10"/>
      <name val="Arial"/>
      <family val="0"/>
    </font>
    <font>
      <sz val="10"/>
      <name val="Arial"/>
      <family val="0"/>
    </font>
    <font>
      <b val="true"/>
      <sz val="16"/>
      <name val="WenQuanYi Zen Hei"/>
      <family val="2"/>
    </font>
    <font>
      <b val="true"/>
      <sz val="13"/>
      <name val="WenQuanYi Zen Hei"/>
      <family val="2"/>
    </font>
    <font>
      <b val="true"/>
      <sz val="13"/>
      <name val="ＭＳ Ｐ明朝"/>
      <family val="0"/>
      <charset val="1"/>
    </font>
    <font>
      <b val="true"/>
      <sz val="10"/>
      <name val="WenQuanYi Zen Hei"/>
      <family val="2"/>
    </font>
    <font>
      <sz val="10"/>
      <name val="WenQuanYi Zen Hei"/>
      <family val="2"/>
    </font>
    <font>
      <sz val="10"/>
      <name val="ＭＳ Ｐ明朝"/>
      <family val="0"/>
      <charset val="1"/>
    </font>
    <font>
      <b val="true"/>
      <sz val="12"/>
      <name val="WenQuanYi Zen Hei"/>
      <family val="2"/>
    </font>
    <font>
      <b val="true"/>
      <sz val="10"/>
      <name val="ＭＳ Ｐ明朝"/>
      <family val="0"/>
      <charset val="1"/>
    </font>
    <font>
      <u val="single"/>
      <sz val="10"/>
      <color rgb="FF0563C1"/>
      <name val="WenQuanYi Zen Hei"/>
      <family val="2"/>
    </font>
    <font>
      <sz val="10"/>
      <color rgb="FF808080"/>
      <name val="WenQuanYi Zen Hei"/>
      <family val="2"/>
    </font>
    <font>
      <sz val="10"/>
      <color rgb="FF808080"/>
      <name val="ＭＳ Ｐ明朝"/>
      <family val="0"/>
      <charset val="1"/>
    </font>
    <font>
      <sz val="10"/>
      <color rgb="FF000000"/>
      <name val="WenQuanYi Zen Hei"/>
      <family val="2"/>
    </font>
    <font>
      <sz val="10"/>
      <color rgb="FF000000"/>
      <name val="ＭＳ Ｐ明朝"/>
      <family val="0"/>
      <charset val="1"/>
    </font>
    <font>
      <sz val="9"/>
      <name val="WenQuanYi Zen Hei"/>
      <family val="2"/>
    </font>
    <font>
      <sz val="9"/>
      <name val="ＭＳ Ｐ明朝"/>
      <family val="0"/>
      <charset val="1"/>
    </font>
    <font>
      <b val="true"/>
      <sz val="16"/>
      <name val="ＭＳ Ｐ明朝"/>
      <family val="0"/>
      <charset val="1"/>
    </font>
    <font>
      <b val="true"/>
      <sz val="9"/>
      <name val="WenQuanYi Zen Hei"/>
      <family val="2"/>
    </font>
    <font>
      <sz val="10"/>
      <color rgb="FF0000FF"/>
      <name val="WenQuanYi Zen Hei"/>
      <family val="2"/>
    </font>
    <font>
      <sz val="10"/>
      <color rgb="FF0000FF"/>
      <name val="ＭＳ Ｐ明朝"/>
      <family val="0"/>
      <charset val="1"/>
    </font>
    <font>
      <sz val="9"/>
      <color rgb="FF000000"/>
      <name val="ＭＳ Ｐ明朝"/>
      <family val="0"/>
      <charset val="1"/>
    </font>
    <font>
      <b val="true"/>
      <sz val="14"/>
      <name val="WenQuanYi Zen Hei"/>
      <family val="2"/>
    </font>
    <font>
      <b val="true"/>
      <sz val="14"/>
      <name val="ＭＳ Ｐ明朝"/>
      <family val="0"/>
      <charset val="1"/>
    </font>
    <font>
      <b val="true"/>
      <sz val="9"/>
      <name val="ＭＳ Ｐ明朝"/>
      <family val="0"/>
      <charset val="1"/>
    </font>
  </fonts>
  <fills count="5">
    <fill>
      <patternFill patternType="none"/>
    </fill>
    <fill>
      <patternFill patternType="gray125"/>
    </fill>
    <fill>
      <patternFill patternType="solid">
        <fgColor rgb="FFD9E1F2"/>
        <bgColor rgb="FFEDEDED"/>
      </patternFill>
    </fill>
    <fill>
      <patternFill patternType="solid">
        <fgColor rgb="FFEDEDED"/>
        <bgColor rgb="FFF7F7F7"/>
      </patternFill>
    </fill>
    <fill>
      <patternFill patternType="solid">
        <fgColor rgb="FFF7F7F7"/>
        <bgColor rgb="FFEDEDED"/>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5"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6" fontId="16"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7" fontId="11" fillId="3"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20" fillId="3"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right" vertical="center" textRotation="0" wrapText="false" indent="0" shrinkToFit="false"/>
      <protection locked="true" hidden="false"/>
    </xf>
    <xf numFmtId="164" fontId="11" fillId="3" borderId="1" xfId="0" applyFont="true" applyBorder="true" applyAlignment="true" applyProtection="false">
      <alignment horizontal="general"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8" fontId="16"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9" fontId="16"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70" fontId="26" fillId="2"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71" fontId="18" fillId="0" borderId="1" xfId="0" applyFont="true" applyBorder="true" applyAlignment="true" applyProtection="false">
      <alignment horizontal="center" vertical="center" textRotation="0" wrapText="true" indent="0" shrinkToFit="false"/>
      <protection locked="true" hidden="false"/>
    </xf>
    <xf numFmtId="165" fontId="18" fillId="0" borderId="1" xfId="0" applyFont="true" applyBorder="true" applyAlignment="true" applyProtection="false">
      <alignment horizontal="center"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7" fontId="2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7F7F7"/>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29694;&#22580;&#25216;&#34899;&#26989;&#21209;_&#26908;&#26619;&#21463;&#26908;&#36039;&#26009;_&#26465;&#25991;&#21029;&#25972;&#29702;&#34920;_7&#26376;&#20998;.xlsx" TargetMode="External"/><Relationship Id="rId2" Type="http://schemas.openxmlformats.org/officeDocument/2006/relationships/hyperlink" Target="&#29694;&#22580;&#25216;&#34899;&#26989;&#21209;_&#26908;&#26619;&#21463;&#26908;&#36039;&#26009;_&#26465;&#25991;&#21029;&#25972;&#29702;&#34920;_7&#26376;&#20998;.xlsx" TargetMode="External"/><Relationship Id="rId3" Type="http://schemas.openxmlformats.org/officeDocument/2006/relationships/hyperlink" Target="&#29694;&#22580;&#25216;&#34899;&#26989;&#21209;_&#26908;&#26619;&#21463;&#26908;&#36039;&#26009;_&#26465;&#25991;&#21029;&#25972;&#29702;&#34920;_7&#26376;&#20998;.xlsx" TargetMode="External"/><Relationship Id="rId4" Type="http://schemas.openxmlformats.org/officeDocument/2006/relationships/hyperlink" Target="&#29694;&#22580;&#25216;&#34899;&#26989;&#21209;_&#26908;&#26619;&#21463;&#26908;&#36039;&#26009;_&#26465;&#25991;&#21029;&#25972;&#29702;&#34920;_7&#26376;&#20998;.xlsx" TargetMode="External"/><Relationship Id="rId5" Type="http://schemas.openxmlformats.org/officeDocument/2006/relationships/hyperlink" Target="&#29694;&#22580;&#25216;&#34899;&#26989;&#21209;_&#26908;&#26619;&#21463;&#26908;&#36039;&#26009;_&#26465;&#25991;&#21029;&#25972;&#29702;&#34920;_7&#26376;&#20998;.xlsx" TargetMode="External"/><Relationship Id="rId6" Type="http://schemas.openxmlformats.org/officeDocument/2006/relationships/hyperlink" Target="&#29694;&#22580;&#25216;&#34899;&#26989;&#21209;_&#26908;&#26619;&#21463;&#26908;&#36039;&#26009;_&#26465;&#25991;&#21029;&#25972;&#29702;&#34920;_7&#26376;&#20998;.xlsx" TargetMode="External"/><Relationship Id="rId7" Type="http://schemas.openxmlformats.org/officeDocument/2006/relationships/hyperlink" Target="&#29694;&#22580;&#25216;&#34899;&#26989;&#21209;_&#26908;&#26619;&#21463;&#26908;&#36039;&#26009;_&#26465;&#25991;&#21029;&#25972;&#29702;&#34920;_7&#26376;&#20998;.xlsx" TargetMode="External"/><Relationship Id="rId8" Type="http://schemas.openxmlformats.org/officeDocument/2006/relationships/hyperlink" Target="&#29694;&#22580;&#25216;&#34899;&#26989;&#21209;_&#26908;&#26619;&#21463;&#26908;&#36039;&#26009;_&#26465;&#25991;&#21029;&#25972;&#29702;&#34920;_7&#26376;&#20998;.xlsx" TargetMode="External"/><Relationship Id="rId9" Type="http://schemas.openxmlformats.org/officeDocument/2006/relationships/hyperlink" Target="&#29694;&#22580;&#25216;&#34899;&#26989;&#21209;_&#26908;&#26619;&#21463;&#26908;&#36039;&#26009;_&#26465;&#25991;&#21029;&#25972;&#29702;&#34920;_7&#26376;&#20998;.xlsx" TargetMode="External"/><Relationship Id="rId10" Type="http://schemas.openxmlformats.org/officeDocument/2006/relationships/hyperlink" Target="&#29694;&#22580;&#25216;&#34899;&#26989;&#21209;_&#26908;&#26619;&#21463;&#26908;&#36039;&#26009;_&#26465;&#25991;&#21029;&#25972;&#29702;&#34920;_7&#26376;&#20998;.xlsx" TargetMode="External"/><Relationship Id="rId11" Type="http://schemas.openxmlformats.org/officeDocument/2006/relationships/hyperlink" Target="&#29694;&#22580;&#25216;&#34899;&#26989;&#21209;_&#26908;&#26619;&#21463;&#26908;&#36039;&#26009;_&#26465;&#25991;&#21029;&#25972;&#29702;&#34920;_7&#26376;&#20998;.xlsx" TargetMode="External"/><Relationship Id="rId12" Type="http://schemas.openxmlformats.org/officeDocument/2006/relationships/hyperlink" Target="&#29694;&#22580;&#25216;&#34899;&#26989;&#21209;_&#26908;&#26619;&#21463;&#26908;&#36039;&#26009;_&#26465;&#25991;&#21029;&#25972;&#29702;&#34920;_7&#26376;&#20998;.xlsx" TargetMode="External"/><Relationship Id="rId13" Type="http://schemas.openxmlformats.org/officeDocument/2006/relationships/hyperlink" Target="&#29694;&#22580;&#25216;&#34899;&#26989;&#21209;_&#26908;&#26619;&#21463;&#26908;&#36039;&#26009;_&#26465;&#25991;&#21029;&#25972;&#29702;&#34920;_7&#26376;&#20998;.xlsx" TargetMode="External"/><Relationship Id="rId14" Type="http://schemas.openxmlformats.org/officeDocument/2006/relationships/hyperlink" Target="&#29694;&#22580;&#25216;&#34899;&#26989;&#21209;_&#26908;&#26619;&#21463;&#26908;&#36039;&#26009;_&#26465;&#25991;&#21029;&#25972;&#29702;&#34920;_7&#26376;&#20998;.xlsx" TargetMode="External"/><Relationship Id="rId15" Type="http://schemas.openxmlformats.org/officeDocument/2006/relationships/hyperlink" Target="&#29694;&#22580;&#25216;&#34899;&#26989;&#21209;_&#26908;&#26619;&#21463;&#26908;&#36039;&#26009;_&#26465;&#25991;&#21029;&#25972;&#29702;&#34920;_7&#26376;&#20998;.xlsx" TargetMode="External"/><Relationship Id="rId16" Type="http://schemas.openxmlformats.org/officeDocument/2006/relationships/hyperlink" Target="&#29694;&#22580;&#25216;&#34899;&#26989;&#21209;_&#26908;&#26619;&#21463;&#26908;&#36039;&#26009;_&#26465;&#25991;&#21029;&#25972;&#29702;&#34920;_7&#26376;&#20998;.xlsx" TargetMode="External"/><Relationship Id="rId17" Type="http://schemas.openxmlformats.org/officeDocument/2006/relationships/hyperlink" Target="&#29694;&#22580;&#25216;&#34899;&#26989;&#21209;_&#26908;&#26619;&#21463;&#26908;&#36039;&#26009;_&#26465;&#25991;&#21029;&#25972;&#29702;&#34920;_7&#26376;&#20998;.xlsx" TargetMode="External"/><Relationship Id="rId18" Type="http://schemas.openxmlformats.org/officeDocument/2006/relationships/hyperlink" Target="&#29694;&#22580;&#25216;&#34899;&#26989;&#21209;_&#26908;&#26619;&#21463;&#26908;&#36039;&#26009;_&#26465;&#25991;&#21029;&#25972;&#29702;&#34920;_7&#26376;&#20998;.xlsx" TargetMode="External"/><Relationship Id="rId19" Type="http://schemas.openxmlformats.org/officeDocument/2006/relationships/hyperlink" Target="&#29694;&#22580;&#25216;&#34899;&#26989;&#21209;_&#26908;&#26619;&#21463;&#26908;&#36039;&#26009;_&#26465;&#25991;&#21029;&#25972;&#29702;&#34920;_7&#26376;&#20998;.xlsx" TargetMode="External"/><Relationship Id="rId20" Type="http://schemas.openxmlformats.org/officeDocument/2006/relationships/hyperlink" Target="&#29694;&#22580;&#25216;&#34899;&#26989;&#21209;_&#26908;&#26619;&#21463;&#26908;&#36039;&#26009;_&#26465;&#25991;&#21029;&#25972;&#29702;&#34920;_7&#26376;&#20998;.xlsx" TargetMode="External"/><Relationship Id="rId21" Type="http://schemas.openxmlformats.org/officeDocument/2006/relationships/hyperlink" Target="&#29694;&#22580;&#25216;&#34899;&#26989;&#21209;_&#26908;&#26619;&#21463;&#26908;&#36039;&#26009;_&#26465;&#25991;&#21029;&#25972;&#29702;&#34920;_7&#26376;&#20998;.xlsx" TargetMode="External"/><Relationship Id="rId22" Type="http://schemas.openxmlformats.org/officeDocument/2006/relationships/hyperlink" Target="&#29694;&#22580;&#25216;&#34899;&#26989;&#21209;_&#26908;&#26619;&#21463;&#26908;&#36039;&#26009;_&#26465;&#25991;&#21029;&#25972;&#29702;&#34920;_7&#26376;&#20998;.xlsx" TargetMode="External"/><Relationship Id="rId23" Type="http://schemas.openxmlformats.org/officeDocument/2006/relationships/hyperlink" Target="&#29694;&#22580;&#25216;&#34899;&#26989;&#21209;_&#26908;&#26619;&#21463;&#26908;&#36039;&#26009;_&#26465;&#25991;&#21029;&#25972;&#29702;&#34920;_7&#26376;&#20998;.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6"/>
    <col collapsed="false" customWidth="true" hidden="false" outlineLevel="0" max="4" min="4" style="0" width="8"/>
    <col collapsed="false" customWidth="true" hidden="false" outlineLevel="0" max="6" min="5" style="0" width="35"/>
    <col collapsed="false" customWidth="true" hidden="false" outlineLevel="0" max="7" min="7" style="0" width="7"/>
    <col collapsed="false" customWidth="true" hidden="false" outlineLevel="0" max="8" min="8" style="0" width="16"/>
  </cols>
  <sheetData>
    <row r="1" customFormat="false" ht="19.7" hidden="false" customHeight="false" outlineLevel="0" collapsed="false">
      <c r="A1" s="1" t="s">
        <v>0</v>
      </c>
      <c r="B1" s="1"/>
      <c r="C1" s="1"/>
      <c r="D1" s="1"/>
      <c r="E1" s="1"/>
      <c r="F1" s="1"/>
      <c r="G1" s="1"/>
      <c r="H1" s="1"/>
    </row>
    <row r="2" customFormat="false" ht="17.15" hidden="false" customHeight="false" outlineLevel="0" collapsed="false">
      <c r="A2" s="2" t="s">
        <v>1</v>
      </c>
      <c r="B2" s="2"/>
      <c r="C2" s="2"/>
      <c r="D2" s="2"/>
      <c r="E2" s="2"/>
      <c r="F2" s="2"/>
      <c r="G2" s="2"/>
      <c r="H2" s="2"/>
    </row>
    <row r="4" customFormat="false" ht="15" hidden="false" customHeight="false" outlineLevel="0" collapsed="false">
      <c r="A4" s="3" t="s">
        <v>2</v>
      </c>
      <c r="B4" s="3"/>
      <c r="C4" s="4" t="s">
        <v>3</v>
      </c>
      <c r="D4" s="4"/>
      <c r="E4" s="4"/>
      <c r="F4" s="4"/>
      <c r="G4" s="4"/>
      <c r="H4" s="4"/>
    </row>
    <row r="5" customFormat="false" ht="15" hidden="false" customHeight="false" outlineLevel="0" collapsed="false">
      <c r="A5" s="3" t="s">
        <v>4</v>
      </c>
      <c r="B5" s="3"/>
      <c r="C5" s="4" t="s">
        <v>5</v>
      </c>
      <c r="D5" s="4"/>
      <c r="E5" s="4"/>
      <c r="F5" s="4"/>
      <c r="G5" s="4"/>
      <c r="H5" s="4"/>
    </row>
    <row r="6" customFormat="false" ht="15" hidden="false" customHeight="false" outlineLevel="0" collapsed="false">
      <c r="A6" s="3" t="s">
        <v>6</v>
      </c>
      <c r="B6" s="3"/>
      <c r="C6" s="4" t="s">
        <v>7</v>
      </c>
      <c r="D6" s="4"/>
      <c r="E6" s="4"/>
      <c r="F6" s="4"/>
      <c r="G6" s="4"/>
      <c r="H6" s="4"/>
    </row>
    <row r="7" customFormat="false" ht="15" hidden="false" customHeight="false" outlineLevel="0" collapsed="false">
      <c r="A7" s="3" t="s">
        <v>8</v>
      </c>
      <c r="B7" s="3"/>
      <c r="C7" s="4" t="s">
        <v>9</v>
      </c>
      <c r="D7" s="4"/>
      <c r="E7" s="4"/>
      <c r="F7" s="4"/>
      <c r="G7" s="4"/>
      <c r="H7" s="4"/>
    </row>
    <row r="9" customFormat="false" ht="15" hidden="false" customHeight="false" outlineLevel="0" collapsed="false">
      <c r="A9" s="5" t="s">
        <v>10</v>
      </c>
    </row>
    <row r="10" customFormat="false" ht="15" hidden="false" customHeight="true" outlineLevel="0" collapsed="false">
      <c r="A10" s="6" t="s">
        <v>11</v>
      </c>
      <c r="B10" s="7" t="s">
        <v>12</v>
      </c>
      <c r="C10" s="7"/>
      <c r="D10" s="7"/>
      <c r="E10" s="7" t="s">
        <v>13</v>
      </c>
      <c r="F10" s="7"/>
      <c r="G10" s="7"/>
      <c r="H10" s="7" t="s">
        <v>14</v>
      </c>
    </row>
    <row r="11" customFormat="false" ht="19.5" hidden="false" customHeight="true" outlineLevel="0" collapsed="false">
      <c r="A11" s="8" t="s">
        <v>15</v>
      </c>
      <c r="B11" s="9" t="s">
        <v>16</v>
      </c>
      <c r="C11" s="9"/>
      <c r="D11" s="9"/>
      <c r="E11" s="9" t="s">
        <v>17</v>
      </c>
      <c r="F11" s="9"/>
      <c r="G11" s="9"/>
      <c r="H11" s="10"/>
    </row>
    <row r="12" customFormat="false" ht="19.5" hidden="false" customHeight="true" outlineLevel="0" collapsed="false">
      <c r="A12" s="8" t="s">
        <v>18</v>
      </c>
      <c r="B12" s="11" t="s">
        <v>19</v>
      </c>
      <c r="C12" s="11"/>
      <c r="D12" s="11"/>
      <c r="E12" s="9" t="s">
        <v>20</v>
      </c>
      <c r="F12" s="9"/>
      <c r="G12" s="9"/>
      <c r="H12" s="10"/>
    </row>
    <row r="13" customFormat="false" ht="19.5" hidden="false" customHeight="true" outlineLevel="0" collapsed="false">
      <c r="A13" s="8" t="s">
        <v>21</v>
      </c>
      <c r="B13" s="11" t="s">
        <v>22</v>
      </c>
      <c r="C13" s="11"/>
      <c r="D13" s="11"/>
      <c r="E13" s="9" t="s">
        <v>23</v>
      </c>
      <c r="F13" s="9"/>
      <c r="G13" s="9"/>
      <c r="H13" s="10"/>
    </row>
    <row r="14" customFormat="false" ht="19.5" hidden="false" customHeight="true" outlineLevel="0" collapsed="false">
      <c r="A14" s="8" t="s">
        <v>24</v>
      </c>
      <c r="B14" s="11" t="s">
        <v>25</v>
      </c>
      <c r="C14" s="11"/>
      <c r="D14" s="11"/>
      <c r="E14" s="9" t="s">
        <v>26</v>
      </c>
      <c r="F14" s="9"/>
      <c r="G14" s="9"/>
      <c r="H14" s="10"/>
    </row>
    <row r="15" customFormat="false" ht="19.5" hidden="false" customHeight="true" outlineLevel="0" collapsed="false">
      <c r="A15" s="8" t="s">
        <v>27</v>
      </c>
      <c r="B15" s="9" t="s">
        <v>28</v>
      </c>
      <c r="C15" s="9"/>
      <c r="D15" s="9"/>
      <c r="E15" s="9" t="s">
        <v>29</v>
      </c>
      <c r="F15" s="9"/>
      <c r="G15" s="9"/>
      <c r="H15" s="9" t="s">
        <v>30</v>
      </c>
    </row>
    <row r="17" customFormat="false" ht="15" hidden="false" customHeight="false" outlineLevel="0" collapsed="false">
      <c r="A17" s="5" t="s">
        <v>31</v>
      </c>
    </row>
    <row r="18" customFormat="false" ht="15" hidden="false" customHeight="false" outlineLevel="0" collapsed="false">
      <c r="A18" s="7" t="s">
        <v>32</v>
      </c>
      <c r="B18" s="7" t="s">
        <v>33</v>
      </c>
      <c r="C18" s="7" t="s">
        <v>34</v>
      </c>
      <c r="D18" s="7" t="s">
        <v>35</v>
      </c>
      <c r="E18" s="7" t="s">
        <v>36</v>
      </c>
      <c r="F18" s="7" t="s">
        <v>37</v>
      </c>
      <c r="G18" s="7" t="s">
        <v>38</v>
      </c>
      <c r="H18" s="7" t="s">
        <v>14</v>
      </c>
    </row>
    <row r="19" customFormat="false" ht="27.75" hidden="false" customHeight="true" outlineLevel="0" collapsed="false">
      <c r="A19" s="12" t="s">
        <v>39</v>
      </c>
      <c r="B19" s="13" t="str">
        <f aca="false">INDEX(条文マスタ!$C$5:$C$24,MATCH($A19,条文マスタ!$A$5:$A$24,0))</f>
        <v>管理技術者等（監督に関する業務の厳正な実施）</v>
      </c>
      <c r="C19" s="14" t="n">
        <f aca="false">INDEX(条文別集計!$Z$6:$Z$25,MATCH($A19,条文別集計!$A$6:$A$25,0))</f>
        <v>0</v>
      </c>
      <c r="D19" s="14" t="n">
        <f aca="false">INDEX(条文別集計!$AA$6:$AA$25,MATCH($A19,条文別集計!$A$6:$A$25,0))</f>
        <v>0</v>
      </c>
      <c r="E19" s="15" t="s">
        <v>40</v>
      </c>
      <c r="F19" s="15" t="s">
        <v>40</v>
      </c>
      <c r="G19" s="16" t="n">
        <v>1</v>
      </c>
      <c r="H19" s="13" t="s">
        <v>41</v>
      </c>
    </row>
    <row r="20" customFormat="false" ht="27.75" hidden="false" customHeight="true" outlineLevel="0" collapsed="false">
      <c r="A20" s="12" t="s">
        <v>42</v>
      </c>
      <c r="B20" s="13" t="str">
        <f aca="false">INDEX(条文マスタ!$C$5:$C$24,MATCH($A20,条文マスタ!$A$5:$A$24,0))</f>
        <v>管理技術者等（工事請負者等への連絡・通知）</v>
      </c>
      <c r="C20" s="14" t="n">
        <f aca="false">INDEX(条文別集計!$Z$6:$Z$25,MATCH($A20,条文別集計!$A$6:$A$25,0))</f>
        <v>0</v>
      </c>
      <c r="D20" s="14" t="n">
        <f aca="false">INDEX(条文別集計!$AA$6:$AA$25,MATCH($A20,条文別集計!$A$6:$A$25,0))</f>
        <v>0</v>
      </c>
      <c r="E20" s="15" t="s">
        <v>40</v>
      </c>
      <c r="F20" s="15" t="s">
        <v>40</v>
      </c>
      <c r="G20" s="16" t="n">
        <v>1</v>
      </c>
      <c r="H20" s="13" t="s">
        <v>41</v>
      </c>
    </row>
    <row r="21" customFormat="false" ht="27.75" hidden="false" customHeight="true" outlineLevel="0" collapsed="false">
      <c r="A21" s="12" t="s">
        <v>43</v>
      </c>
      <c r="B21" s="17" t="str">
        <f aca="false">INDEX(条文マスタ!$C$5:$C$24,MATCH($A21,条文マスタ!$A$5:$A$24,0))</f>
        <v>管理技術者等（設計図書の理解・現場状況の精通）</v>
      </c>
      <c r="C21" s="18" t="n">
        <f aca="false">INDEX(条文別集計!$Z$6:$Z$25,MATCH($A21,条文別集計!$A$6:$A$25,0))</f>
        <v>1</v>
      </c>
      <c r="D21" s="18" t="n">
        <f aca="false">INDEX(条文別集計!$AA$6:$AA$25,MATCH($A21,条文別集計!$A$6:$A$25,0))</f>
        <v>1</v>
      </c>
      <c r="E21" s="19" t="s">
        <v>44</v>
      </c>
      <c r="F21" s="19" t="s">
        <v>45</v>
      </c>
      <c r="G21" s="20" t="n">
        <v>1</v>
      </c>
      <c r="H21" s="17"/>
    </row>
    <row r="22" customFormat="false" ht="19.5" hidden="false" customHeight="true" outlineLevel="0" collapsed="false">
      <c r="A22" s="12" t="s">
        <v>46</v>
      </c>
      <c r="B22" s="17" t="str">
        <f aca="false">INDEX(条文マスタ!$C$5:$C$24,MATCH($A22,条文マスタ!$A$5:$A$24,0))</f>
        <v>管理技術者等（図書の整理）</v>
      </c>
      <c r="C22" s="18" t="n">
        <f aca="false">INDEX(条文別集計!$Z$6:$Z$25,MATCH($A22,条文別集計!$A$6:$A$25,0))</f>
        <v>7</v>
      </c>
      <c r="D22" s="18" t="n">
        <f aca="false">INDEX(条文別集計!$AA$6:$AA$25,MATCH($A22,条文別集計!$A$6:$A$25,0))</f>
        <v>4</v>
      </c>
      <c r="E22" s="19" t="s">
        <v>47</v>
      </c>
      <c r="F22" s="19" t="s">
        <v>48</v>
      </c>
      <c r="G22" s="20" t="n">
        <v>1</v>
      </c>
      <c r="H22" s="17"/>
    </row>
    <row r="23" customFormat="false" ht="27.75" hidden="false" customHeight="true" outlineLevel="0" collapsed="false">
      <c r="A23" s="12" t="s">
        <v>49</v>
      </c>
      <c r="B23" s="13" t="str">
        <f aca="false">INDEX(条文マスタ!$C$5:$C$24,MATCH($A23,条文マスタ!$A$5:$A$24,0))</f>
        <v>管理技術者等（監督職員との打合せ・協議）</v>
      </c>
      <c r="C23" s="14" t="n">
        <f aca="false">INDEX(条文別集計!$Z$6:$Z$25,MATCH($A23,条文別集計!$A$6:$A$25,0))</f>
        <v>0</v>
      </c>
      <c r="D23" s="14" t="n">
        <f aca="false">INDEX(条文別集計!$AA$6:$AA$25,MATCH($A23,条文別集計!$A$6:$A$25,0))</f>
        <v>0</v>
      </c>
      <c r="E23" s="15" t="s">
        <v>40</v>
      </c>
      <c r="F23" s="15" t="s">
        <v>40</v>
      </c>
      <c r="G23" s="16" t="n">
        <v>1</v>
      </c>
      <c r="H23" s="13" t="s">
        <v>41</v>
      </c>
    </row>
    <row r="24" customFormat="false" ht="19.5" hidden="false" customHeight="true" outlineLevel="0" collapsed="false">
      <c r="A24" s="12" t="s">
        <v>50</v>
      </c>
      <c r="B24" s="17" t="str">
        <f aca="false">INDEX(条文マスタ!$C$5:$C$24,MATCH($A24,条文マスタ!$A$5:$A$24,0))</f>
        <v>業務処理予定表及び結果報告書</v>
      </c>
      <c r="C24" s="18" t="n">
        <f aca="false">INDEX(条文別集計!$Z$6:$Z$25,MATCH($A24,条文別集計!$A$6:$A$25,0))</f>
        <v>22</v>
      </c>
      <c r="D24" s="18" t="n">
        <f aca="false">INDEX(条文別集計!$AA$6:$AA$25,MATCH($A24,条文別集計!$A$6:$A$25,0))</f>
        <v>22</v>
      </c>
      <c r="E24" s="17" t="s">
        <v>51</v>
      </c>
      <c r="F24" s="19" t="s">
        <v>52</v>
      </c>
      <c r="G24" s="20" t="n">
        <v>1</v>
      </c>
      <c r="H24" s="17"/>
    </row>
    <row r="25" customFormat="false" ht="19.5" hidden="false" customHeight="true" outlineLevel="0" collapsed="false">
      <c r="A25" s="12" t="s">
        <v>53</v>
      </c>
      <c r="B25" s="13" t="str">
        <f aca="false">INDEX(条文マスタ!$C$5:$C$24,MATCH($A25,条文マスタ!$A$5:$A$24,0))</f>
        <v>業務完了時の提出書類</v>
      </c>
      <c r="C25" s="14" t="n">
        <f aca="false">INDEX(条文別集計!$Z$6:$Z$25,MATCH($A25,条文別集計!$A$6:$A$25,0))</f>
        <v>0</v>
      </c>
      <c r="D25" s="14" t="n">
        <f aca="false">INDEX(条文別集計!$AA$6:$AA$25,MATCH($A25,条文別集計!$A$6:$A$25,0))</f>
        <v>0</v>
      </c>
      <c r="E25" s="15" t="s">
        <v>40</v>
      </c>
      <c r="F25" s="15" t="s">
        <v>40</v>
      </c>
      <c r="G25" s="16" t="n">
        <v>2</v>
      </c>
      <c r="H25" s="13" t="s">
        <v>41</v>
      </c>
    </row>
    <row r="26" customFormat="false" ht="19.5" hidden="false" customHeight="true" outlineLevel="0" collapsed="false">
      <c r="A26" s="12" t="s">
        <v>54</v>
      </c>
      <c r="B26" s="17" t="str">
        <f aca="false">INDEX(条文マスタ!$C$5:$C$24,MATCH($A26,条文マスタ!$A$5:$A$24,0))</f>
        <v>書類の確認</v>
      </c>
      <c r="C26" s="18" t="n">
        <f aca="false">INDEX(条文別集計!$Z$6:$Z$25,MATCH($A26,条文別集計!$A$6:$A$25,0))</f>
        <v>2</v>
      </c>
      <c r="D26" s="18" t="n">
        <f aca="false">INDEX(条文別集計!$AA$6:$AA$25,MATCH($A26,条文別集計!$A$6:$A$25,0))</f>
        <v>2</v>
      </c>
      <c r="E26" s="19" t="s">
        <v>55</v>
      </c>
      <c r="F26" s="19" t="s">
        <v>56</v>
      </c>
      <c r="G26" s="20" t="n">
        <v>2</v>
      </c>
      <c r="H26" s="17"/>
    </row>
    <row r="27" customFormat="false" ht="27.75" hidden="false" customHeight="true" outlineLevel="0" collapsed="false">
      <c r="A27" s="12" t="s">
        <v>57</v>
      </c>
      <c r="B27" s="17" t="str">
        <f aca="false">INDEX(条文マスタ!$C$5:$C$24,MATCH($A27,条文マスタ!$A$5:$A$24,0))</f>
        <v>立会</v>
      </c>
      <c r="C27" s="18" t="n">
        <f aca="false">INDEX(条文別集計!$Z$6:$Z$25,MATCH($A27,条文別集計!$A$6:$A$25,0))</f>
        <v>8</v>
      </c>
      <c r="D27" s="18" t="n">
        <f aca="false">INDEX(条文別集計!$AA$6:$AA$25,MATCH($A27,条文別集計!$A$6:$A$25,0))</f>
        <v>6</v>
      </c>
      <c r="E27" s="19" t="s">
        <v>58</v>
      </c>
      <c r="F27" s="19" t="s">
        <v>59</v>
      </c>
      <c r="G27" s="20" t="n">
        <v>2</v>
      </c>
      <c r="H27" s="17"/>
    </row>
    <row r="28" customFormat="false" ht="19.5" hidden="false" customHeight="true" outlineLevel="0" collapsed="false">
      <c r="A28" s="12" t="s">
        <v>60</v>
      </c>
      <c r="B28" s="13" t="str">
        <f aca="false">INDEX(条文マスタ!$C$5:$C$24,MATCH($A28,条文マスタ!$A$5:$A$24,0))</f>
        <v>検測</v>
      </c>
      <c r="C28" s="14" t="n">
        <f aca="false">INDEX(条文別集計!$Z$6:$Z$25,MATCH($A28,条文別集計!$A$6:$A$25,0))</f>
        <v>0</v>
      </c>
      <c r="D28" s="14" t="n">
        <f aca="false">INDEX(条文別集計!$AA$6:$AA$25,MATCH($A28,条文別集計!$A$6:$A$25,0))</f>
        <v>0</v>
      </c>
      <c r="E28" s="15" t="s">
        <v>40</v>
      </c>
      <c r="F28" s="15" t="s">
        <v>40</v>
      </c>
      <c r="G28" s="16" t="n">
        <v>2</v>
      </c>
      <c r="H28" s="13" t="s">
        <v>41</v>
      </c>
    </row>
    <row r="29" customFormat="false" ht="19.5" hidden="false" customHeight="true" outlineLevel="0" collapsed="false">
      <c r="A29" s="12" t="s">
        <v>61</v>
      </c>
      <c r="B29" s="13" t="str">
        <f aca="false">INDEX(条文マスタ!$C$5:$C$24,MATCH($A29,条文マスタ!$A$5:$A$24,0))</f>
        <v>材料検査</v>
      </c>
      <c r="C29" s="14" t="n">
        <f aca="false">INDEX(条文別集計!$Z$6:$Z$25,MATCH($A29,条文別集計!$A$6:$A$25,0))</f>
        <v>0</v>
      </c>
      <c r="D29" s="14" t="n">
        <f aca="false">INDEX(条文別集計!$AA$6:$AA$25,MATCH($A29,条文別集計!$A$6:$A$25,0))</f>
        <v>0</v>
      </c>
      <c r="E29" s="15" t="s">
        <v>40</v>
      </c>
      <c r="F29" s="15" t="s">
        <v>40</v>
      </c>
      <c r="G29" s="16" t="n">
        <v>2</v>
      </c>
      <c r="H29" s="13" t="s">
        <v>41</v>
      </c>
    </row>
    <row r="30" customFormat="false" ht="19.5" hidden="false" customHeight="true" outlineLevel="0" collapsed="false">
      <c r="A30" s="12" t="s">
        <v>62</v>
      </c>
      <c r="B30" s="17" t="str">
        <f aca="false">INDEX(条文マスタ!$C$5:$C$24,MATCH($A30,条文マスタ!$A$5:$A$24,0))</f>
        <v>工程管理</v>
      </c>
      <c r="C30" s="18" t="n">
        <f aca="false">INDEX(条文別集計!$Z$6:$Z$25,MATCH($A30,条文別集計!$A$6:$A$25,0))</f>
        <v>3</v>
      </c>
      <c r="D30" s="18" t="n">
        <f aca="false">INDEX(条文別集計!$AA$6:$AA$25,MATCH($A30,条文別集計!$A$6:$A$25,0))</f>
        <v>3</v>
      </c>
      <c r="E30" s="19" t="s">
        <v>63</v>
      </c>
      <c r="F30" s="19" t="s">
        <v>64</v>
      </c>
      <c r="G30" s="20" t="n">
        <v>2</v>
      </c>
      <c r="H30" s="17"/>
    </row>
    <row r="31" customFormat="false" ht="19.5" hidden="false" customHeight="true" outlineLevel="0" collapsed="false">
      <c r="A31" s="12" t="s">
        <v>65</v>
      </c>
      <c r="B31" s="13" t="str">
        <f aca="false">INDEX(条文マスタ!$C$5:$C$24,MATCH($A31,条文マスタ!$A$5:$A$24,0))</f>
        <v>品質管理</v>
      </c>
      <c r="C31" s="14" t="n">
        <f aca="false">INDEX(条文別集計!$Z$6:$Z$25,MATCH($A31,条文別集計!$A$6:$A$25,0))</f>
        <v>0</v>
      </c>
      <c r="D31" s="14" t="n">
        <f aca="false">INDEX(条文別集計!$AA$6:$AA$25,MATCH($A31,条文別集計!$A$6:$A$25,0))</f>
        <v>0</v>
      </c>
      <c r="E31" s="15" t="s">
        <v>40</v>
      </c>
      <c r="F31" s="15" t="s">
        <v>40</v>
      </c>
      <c r="G31" s="16" t="n">
        <v>3</v>
      </c>
      <c r="H31" s="13" t="s">
        <v>41</v>
      </c>
    </row>
    <row r="32" customFormat="false" ht="19.5" hidden="false" customHeight="true" outlineLevel="0" collapsed="false">
      <c r="A32" s="12" t="s">
        <v>66</v>
      </c>
      <c r="B32" s="13" t="str">
        <f aca="false">INDEX(条文マスタ!$C$5:$C$24,MATCH($A32,条文マスタ!$A$5:$A$24,0))</f>
        <v>図面と現地の不一致等</v>
      </c>
      <c r="C32" s="14" t="n">
        <f aca="false">INDEX(条文別集計!$Z$6:$Z$25,MATCH($A32,条文別集計!$A$6:$A$25,0))</f>
        <v>0</v>
      </c>
      <c r="D32" s="14" t="n">
        <f aca="false">INDEX(条文別集計!$AA$6:$AA$25,MATCH($A32,条文別集計!$A$6:$A$25,0))</f>
        <v>0</v>
      </c>
      <c r="E32" s="15" t="s">
        <v>40</v>
      </c>
      <c r="F32" s="15" t="s">
        <v>40</v>
      </c>
      <c r="G32" s="16" t="n">
        <v>3</v>
      </c>
      <c r="H32" s="13" t="s">
        <v>41</v>
      </c>
    </row>
    <row r="33" customFormat="false" ht="19.5" hidden="false" customHeight="true" outlineLevel="0" collapsed="false">
      <c r="A33" s="12" t="s">
        <v>67</v>
      </c>
      <c r="B33" s="17" t="str">
        <f aca="false">INDEX(条文マスタ!$C$5:$C$24,MATCH($A33,条文マスタ!$A$5:$A$24,0))</f>
        <v>検査の立会</v>
      </c>
      <c r="C33" s="18" t="n">
        <f aca="false">INDEX(条文別集計!$Z$6:$Z$25,MATCH($A33,条文別集計!$A$6:$A$25,0))</f>
        <v>4</v>
      </c>
      <c r="D33" s="18" t="n">
        <f aca="false">INDEX(条文別集計!$AA$6:$AA$25,MATCH($A33,条文別集計!$A$6:$A$25,0))</f>
        <v>3</v>
      </c>
      <c r="E33" s="19" t="s">
        <v>68</v>
      </c>
      <c r="F33" s="19" t="s">
        <v>69</v>
      </c>
      <c r="G33" s="20" t="n">
        <v>3</v>
      </c>
      <c r="H33" s="17"/>
    </row>
    <row r="34" customFormat="false" ht="42" hidden="false" customHeight="true" outlineLevel="0" collapsed="false">
      <c r="A34" s="12" t="s">
        <v>70</v>
      </c>
      <c r="B34" s="17" t="str">
        <f aca="false">INDEX(条文マスタ!$C$5:$C$24,MATCH($A34,条文マスタ!$A$5:$A$24,0))</f>
        <v>設計変更工事検査等に関する図書</v>
      </c>
      <c r="C34" s="18" t="n">
        <f aca="false">INDEX(条文別集計!$Z$6:$Z$25,MATCH($A34,条文別集計!$A$6:$A$25,0))</f>
        <v>26</v>
      </c>
      <c r="D34" s="18" t="n">
        <f aca="false">INDEX(条文別集計!$AA$6:$AA$25,MATCH($A34,条文別集計!$A$6:$A$25,0))</f>
        <v>11</v>
      </c>
      <c r="E34" s="19" t="s">
        <v>71</v>
      </c>
      <c r="F34" s="19" t="s">
        <v>72</v>
      </c>
      <c r="G34" s="20" t="n">
        <v>3</v>
      </c>
      <c r="H34" s="17"/>
    </row>
    <row r="35" customFormat="false" ht="19.5" hidden="false" customHeight="true" outlineLevel="0" collapsed="false">
      <c r="A35" s="12" t="s">
        <v>73</v>
      </c>
      <c r="B35" s="13" t="str">
        <f aca="false">INDEX(条文マスタ!$C$5:$C$24,MATCH($A35,条文マスタ!$A$5:$A$24,0))</f>
        <v>対外接渉に関する資料</v>
      </c>
      <c r="C35" s="14" t="n">
        <f aca="false">INDEX(条文別集計!$Z$6:$Z$25,MATCH($A35,条文別集計!$A$6:$A$25,0))</f>
        <v>0</v>
      </c>
      <c r="D35" s="14" t="n">
        <f aca="false">INDEX(条文別集計!$AA$6:$AA$25,MATCH($A35,条文別集計!$A$6:$A$25,0))</f>
        <v>0</v>
      </c>
      <c r="E35" s="15" t="s">
        <v>40</v>
      </c>
      <c r="F35" s="15" t="s">
        <v>40</v>
      </c>
      <c r="G35" s="16" t="n">
        <v>3</v>
      </c>
      <c r="H35" s="13" t="s">
        <v>41</v>
      </c>
    </row>
    <row r="36" customFormat="false" ht="19.5" hidden="false" customHeight="true" outlineLevel="0" collapsed="false">
      <c r="A36" s="12" t="s">
        <v>74</v>
      </c>
      <c r="B36" s="13" t="str">
        <f aca="false">INDEX(条文マスタ!$C$5:$C$24,MATCH($A36,条文マスタ!$A$5:$A$24,0))</f>
        <v>書面での報告</v>
      </c>
      <c r="C36" s="14" t="n">
        <f aca="false">INDEX(条文別集計!$Z$6:$Z$25,MATCH($A36,条文別集計!$A$6:$A$25,0))</f>
        <v>0</v>
      </c>
      <c r="D36" s="14" t="n">
        <f aca="false">INDEX(条文別集計!$AA$6:$AA$25,MATCH($A36,条文別集計!$A$6:$A$25,0))</f>
        <v>0</v>
      </c>
      <c r="E36" s="15" t="s">
        <v>40</v>
      </c>
      <c r="F36" s="15" t="s">
        <v>40</v>
      </c>
      <c r="G36" s="16" t="n">
        <v>3</v>
      </c>
      <c r="H36" s="13" t="s">
        <v>41</v>
      </c>
    </row>
    <row r="37" customFormat="false" ht="27.75" hidden="false" customHeight="true" outlineLevel="0" collapsed="false">
      <c r="A37" s="12" t="s">
        <v>75</v>
      </c>
      <c r="B37" s="17" t="str">
        <f aca="false">INDEX(条文マスタ!$C$5:$C$24,MATCH($A37,条文マスタ!$A$5:$A$24,0))</f>
        <v>設計に必要な調査</v>
      </c>
      <c r="C37" s="18" t="n">
        <f aca="false">INDEX(条文別集計!$Z$6:$Z$25,MATCH($A37,条文別集計!$A$6:$A$25,0))</f>
        <v>15</v>
      </c>
      <c r="D37" s="18" t="n">
        <f aca="false">INDEX(条文別集計!$AA$6:$AA$25,MATCH($A37,条文別集計!$A$6:$A$25,0))</f>
        <v>8</v>
      </c>
      <c r="E37" s="19" t="s">
        <v>76</v>
      </c>
      <c r="F37" s="19" t="s">
        <v>77</v>
      </c>
      <c r="G37" s="20" t="n">
        <v>3</v>
      </c>
      <c r="H37" s="17"/>
    </row>
    <row r="38" customFormat="false" ht="27.75" hidden="false" customHeight="true" outlineLevel="0" collapsed="false">
      <c r="A38" s="12" t="s">
        <v>78</v>
      </c>
      <c r="B38" s="17" t="str">
        <f aca="false">INDEX(条文マスタ!$C$5:$C$24,MATCH($A38,条文マスタ!$A$5:$A$24,0))</f>
        <v>設計に必要な資料</v>
      </c>
      <c r="C38" s="18" t="n">
        <f aca="false">INDEX(条文別集計!$Z$6:$Z$25,MATCH($A38,条文別集計!$A$6:$A$25,0))</f>
        <v>9</v>
      </c>
      <c r="D38" s="18" t="n">
        <f aca="false">INDEX(条文別集計!$AA$6:$AA$25,MATCH($A38,条文別集計!$A$6:$A$25,0))</f>
        <v>5</v>
      </c>
      <c r="E38" s="19" t="s">
        <v>79</v>
      </c>
      <c r="F38" s="19" t="s">
        <v>80</v>
      </c>
      <c r="G38" s="20" t="n">
        <v>4</v>
      </c>
      <c r="H38" s="17"/>
    </row>
    <row r="39" customFormat="false" ht="15" hidden="false" customHeight="true" outlineLevel="0" collapsed="false">
      <c r="A39" s="21" t="s">
        <v>81</v>
      </c>
      <c r="B39" s="21"/>
      <c r="C39" s="22" t="n">
        <f aca="false">SUM(C19:C38)</f>
        <v>97</v>
      </c>
      <c r="D39" s="22" t="n">
        <f aca="false">条文別集計!AA26</f>
        <v>22</v>
      </c>
      <c r="E39" s="22"/>
      <c r="F39" s="22"/>
      <c r="G39" s="22"/>
      <c r="H39" s="22"/>
    </row>
    <row r="41" customFormat="false" ht="15" hidden="false" customHeight="false" outlineLevel="0" collapsed="false">
      <c r="A41" s="23" t="s">
        <v>82</v>
      </c>
    </row>
    <row r="42" customFormat="false" ht="15" hidden="false" customHeight="false" outlineLevel="0" collapsed="false">
      <c r="A42" s="23" t="s">
        <v>83</v>
      </c>
    </row>
    <row r="43" customFormat="false" ht="15" hidden="false" customHeight="false" outlineLevel="0" collapsed="false">
      <c r="A43" s="23" t="s">
        <v>84</v>
      </c>
    </row>
  </sheetData>
  <mergeCells count="23">
    <mergeCell ref="A1:H1"/>
    <mergeCell ref="A2:H2"/>
    <mergeCell ref="A4:B4"/>
    <mergeCell ref="C4:H4"/>
    <mergeCell ref="A5:B5"/>
    <mergeCell ref="C5:H5"/>
    <mergeCell ref="A6:B6"/>
    <mergeCell ref="C6:H6"/>
    <mergeCell ref="A7:B7"/>
    <mergeCell ref="C7:H7"/>
    <mergeCell ref="B10:D10"/>
    <mergeCell ref="E10:G10"/>
    <mergeCell ref="B11:D11"/>
    <mergeCell ref="E11:G11"/>
    <mergeCell ref="B12:D12"/>
    <mergeCell ref="E12:G12"/>
    <mergeCell ref="B13:D13"/>
    <mergeCell ref="E13:G13"/>
    <mergeCell ref="B14:D14"/>
    <mergeCell ref="E14:G14"/>
    <mergeCell ref="B15:D15"/>
    <mergeCell ref="E15:G15"/>
    <mergeCell ref="A39:B39"/>
  </mergeCells>
  <hyperlinks>
    <hyperlink ref="B12" r:id="rId1" location="'条文別整理表'!A1" display="条文別整理表"/>
    <hyperlink ref="B13" r:id="rId2" location="'条文別集計'!A1" display="条文別集計"/>
    <hyperlink ref="B14" r:id="rId3" location="'条文マスタ'!A1" display="条文マスタ"/>
    <hyperlink ref="A19" r:id="rId4" location="'条文別整理表'!A9" display="第3条第3項(1)"/>
    <hyperlink ref="A20" r:id="rId5" location="'条文別整理表'!A11" display="第3条第3項(4)"/>
    <hyperlink ref="A21" r:id="rId6" location="'条文別整理表'!A13" display="第3条第3項(5)"/>
    <hyperlink ref="A22" r:id="rId7" location="'条文別整理表'!A15" display="第3条第3項(6)"/>
    <hyperlink ref="A23" r:id="rId8" location="'条文別整理表'!A23" display="第3条第4項"/>
    <hyperlink ref="A24" r:id="rId9" location="'条文別整理表'!A25" display="第5条"/>
    <hyperlink ref="A25" r:id="rId10" location="'条文別整理表'!A48" display="第6条"/>
    <hyperlink ref="A26" r:id="rId11" location="'条文別整理表'!A50" display="第7条"/>
    <hyperlink ref="A27" r:id="rId12" location="'条文別整理表'!A53" display="第8条"/>
    <hyperlink ref="A28" r:id="rId13" location="'条文別整理表'!A62" display="第9条"/>
    <hyperlink ref="A29" r:id="rId14" location="'条文別整理表'!A64" display="第10条"/>
    <hyperlink ref="A30" r:id="rId15" location="'条文別整理表'!A66" display="第11条"/>
    <hyperlink ref="A31" r:id="rId16" location="'条文別整理表'!A70" display="第12条"/>
    <hyperlink ref="A32" r:id="rId17" location="'条文別整理表'!A72" display="第13条"/>
    <hyperlink ref="A33" r:id="rId18" location="'条文別整理表'!A74" display="第14条"/>
    <hyperlink ref="A34" r:id="rId19" location="'条文別整理表'!A79" display="第15条"/>
    <hyperlink ref="A35" r:id="rId20" location="'条文別整理表'!A106" display="第16条"/>
    <hyperlink ref="A36" r:id="rId21" location="'条文別整理表'!A108" display="第17条"/>
    <hyperlink ref="A37" r:id="rId22" location="'条文別整理表'!A110" display="第19条"/>
    <hyperlink ref="A38" r:id="rId23" location="'条文別整理表'!A126" display="第20条"/>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5"/>
    <col collapsed="false" customWidth="true" hidden="false" outlineLevel="0" max="4" min="4" style="0" width="8"/>
    <col collapsed="false" customWidth="true" hidden="false" outlineLevel="0" max="5" min="5" style="0" width="4"/>
    <col collapsed="false" customWidth="true" hidden="false" outlineLevel="0" max="6" min="6" style="0" width="8"/>
    <col collapsed="false" customWidth="true" hidden="false" outlineLevel="0" max="7" min="7" style="0" width="34"/>
    <col collapsed="false" customWidth="true" hidden="false" outlineLevel="0" max="8" min="8" style="0" width="48"/>
    <col collapsed="false" customWidth="true" hidden="false" outlineLevel="0" max="9" min="9" style="0" width="18"/>
    <col collapsed="false" customWidth="true" hidden="false" outlineLevel="0" max="10" min="10" style="0" width="13"/>
    <col collapsed="false" customWidth="true" hidden="false" outlineLevel="0" max="11" min="11" style="0" width="8"/>
    <col collapsed="false" customWidth="true" hidden="false" outlineLevel="0" max="12" min="12" style="0" width="14"/>
  </cols>
  <sheetData>
    <row r="1" customFormat="false" ht="20.85" hidden="false" customHeight="false" outlineLevel="0" collapsed="false">
      <c r="A1" s="1" t="s">
        <v>85</v>
      </c>
      <c r="B1" s="1"/>
      <c r="C1" s="1"/>
      <c r="D1" s="1"/>
      <c r="E1" s="1"/>
      <c r="F1" s="1"/>
      <c r="G1" s="1"/>
      <c r="H1" s="1"/>
      <c r="I1" s="1"/>
      <c r="J1" s="1"/>
      <c r="K1" s="1"/>
      <c r="L1" s="1"/>
    </row>
    <row r="3" customFormat="false" ht="15" hidden="false" customHeight="false" outlineLevel="0" collapsed="false">
      <c r="A3" s="3" t="s">
        <v>2</v>
      </c>
      <c r="B3" s="3"/>
      <c r="C3" s="4" t="s">
        <v>3</v>
      </c>
      <c r="D3" s="4"/>
      <c r="E3" s="4"/>
      <c r="F3" s="4"/>
      <c r="G3" s="4"/>
      <c r="H3" s="4"/>
      <c r="I3" s="4"/>
      <c r="J3" s="4"/>
      <c r="K3" s="4"/>
      <c r="L3" s="4"/>
    </row>
    <row r="4" customFormat="false" ht="15" hidden="false" customHeight="false" outlineLevel="0" collapsed="false">
      <c r="A4" s="3" t="s">
        <v>4</v>
      </c>
      <c r="B4" s="3"/>
      <c r="C4" s="4" t="s">
        <v>5</v>
      </c>
      <c r="D4" s="4"/>
      <c r="E4" s="4"/>
      <c r="F4" s="4"/>
      <c r="G4" s="4"/>
      <c r="H4" s="4"/>
      <c r="I4" s="4"/>
      <c r="J4" s="4"/>
      <c r="K4" s="4"/>
      <c r="L4" s="4"/>
    </row>
    <row r="5" customFormat="false" ht="15" hidden="false" customHeight="false" outlineLevel="0" collapsed="false">
      <c r="A5" s="3" t="s">
        <v>6</v>
      </c>
      <c r="B5" s="3"/>
      <c r="C5" s="4" t="s">
        <v>7</v>
      </c>
      <c r="D5" s="4"/>
      <c r="E5" s="4"/>
      <c r="F5" s="4"/>
      <c r="G5" s="4"/>
      <c r="H5" s="4"/>
      <c r="I5" s="4"/>
      <c r="J5" s="4"/>
      <c r="K5" s="4"/>
      <c r="L5" s="4"/>
    </row>
    <row r="6" customFormat="false" ht="15" hidden="false" customHeight="false" outlineLevel="0" collapsed="false">
      <c r="A6" s="3" t="s">
        <v>8</v>
      </c>
      <c r="B6" s="3"/>
      <c r="C6" s="4" t="s">
        <v>9</v>
      </c>
      <c r="D6" s="4"/>
      <c r="E6" s="4"/>
      <c r="F6" s="4"/>
      <c r="G6" s="4"/>
      <c r="H6" s="4"/>
      <c r="I6" s="4"/>
      <c r="J6" s="4"/>
      <c r="K6" s="4"/>
      <c r="L6" s="4"/>
    </row>
    <row r="8" customFormat="false" ht="15" hidden="false" customHeight="false" outlineLevel="0" collapsed="false">
      <c r="A8" s="7" t="s">
        <v>32</v>
      </c>
      <c r="B8" s="7" t="s">
        <v>33</v>
      </c>
      <c r="C8" s="6" t="s">
        <v>11</v>
      </c>
      <c r="D8" s="7" t="s">
        <v>36</v>
      </c>
      <c r="E8" s="7" t="s">
        <v>86</v>
      </c>
      <c r="F8" s="7" t="s">
        <v>87</v>
      </c>
      <c r="G8" s="7" t="s">
        <v>88</v>
      </c>
      <c r="H8" s="7" t="s">
        <v>89</v>
      </c>
      <c r="I8" s="7" t="s">
        <v>90</v>
      </c>
      <c r="J8" s="7" t="s">
        <v>91</v>
      </c>
      <c r="K8" s="7" t="s">
        <v>92</v>
      </c>
      <c r="L8" s="7" t="s">
        <v>14</v>
      </c>
    </row>
    <row r="9" customFormat="false" ht="30" hidden="false" customHeight="true" outlineLevel="0" collapsed="false">
      <c r="A9" s="21" t="s">
        <v>93</v>
      </c>
      <c r="B9" s="24" t="str">
        <f aca="false">INDEX(条文マスタ!$C$5:$C$24,MATCH($A9,条文マスタ!$A$5:$A$24,0))</f>
        <v>管理技術者等（監督に関する業務の厳正な実施）</v>
      </c>
      <c r="C9" s="24"/>
      <c r="D9" s="24"/>
      <c r="E9" s="24"/>
      <c r="F9" s="24"/>
      <c r="G9" s="25" t="str">
        <f aca="false">INDEX(条文マスタ!$D$5:$D$24,MATCH($A9,条文マスタ!$A$5:$A$24,0))</f>
        <v>必要な監督に関する業務を厳正に実施すること。</v>
      </c>
      <c r="H9" s="25"/>
      <c r="I9" s="26" t="str">
        <f aca="false">COUNT($C$10:$C$10)&amp;"件"</f>
        <v>0件</v>
      </c>
      <c r="J9" s="21" t="s">
        <v>35</v>
      </c>
      <c r="K9" s="21" t="str">
        <f aca="false">IF(COUNT($C$10:$C$10)=0,0,SUMPRODUCT(($C$10:$C$10&lt;&gt;"")/COUNTIFS($D$10:$D$10,$D$10:$D$10&amp;"")))&amp;"日"</f>
        <v>0日</v>
      </c>
      <c r="L9" s="27"/>
    </row>
    <row r="10" customFormat="false" ht="15" hidden="false" customHeight="false" outlineLevel="0" collapsed="false">
      <c r="A10" s="28" t="s">
        <v>94</v>
      </c>
      <c r="B10" s="29"/>
      <c r="C10" s="29"/>
      <c r="D10" s="29"/>
      <c r="E10" s="29"/>
      <c r="F10" s="29"/>
      <c r="G10" s="29"/>
      <c r="H10" s="30" t="s">
        <v>95</v>
      </c>
      <c r="I10" s="30"/>
      <c r="J10" s="30"/>
      <c r="K10" s="30"/>
      <c r="L10" s="30"/>
    </row>
    <row r="11" customFormat="false" ht="30" hidden="false" customHeight="true" outlineLevel="0" collapsed="false">
      <c r="A11" s="21" t="s">
        <v>96</v>
      </c>
      <c r="B11" s="24" t="str">
        <f aca="false">INDEX(条文マスタ!$C$5:$C$24,MATCH($A11,条文マスタ!$A$5:$A$24,0))</f>
        <v>管理技術者等（工事請負者等への連絡・通知）</v>
      </c>
      <c r="C11" s="24"/>
      <c r="D11" s="24"/>
      <c r="E11" s="24"/>
      <c r="F11" s="24"/>
      <c r="G11" s="25" t="str">
        <f aca="false">INDEX(条文マスタ!$D$5:$D$24,MATCH($A11,条文マスタ!$A$5:$A$24,0))</f>
        <v>工事請負者又は外部への連絡若しくは通知を行う場合には、その内容を相手に正確に伝えること。</v>
      </c>
      <c r="H11" s="25"/>
      <c r="I11" s="26" t="str">
        <f aca="false">COUNT($C$12:$C$12)&amp;"件"</f>
        <v>0件</v>
      </c>
      <c r="J11" s="21" t="s">
        <v>35</v>
      </c>
      <c r="K11" s="21" t="str">
        <f aca="false">IF(COUNT($C$12:$C$12)=0,0,SUMPRODUCT(($C$12:$C$12&lt;&gt;"")/COUNTIFS($D$12:$D$12,$D$12:$D$12&amp;"")))&amp;"日"</f>
        <v>0日</v>
      </c>
      <c r="L11" s="27"/>
    </row>
    <row r="12" customFormat="false" ht="15" hidden="false" customHeight="false" outlineLevel="0" collapsed="false">
      <c r="A12" s="28" t="s">
        <v>97</v>
      </c>
      <c r="B12" s="29"/>
      <c r="C12" s="29"/>
      <c r="D12" s="29"/>
      <c r="E12" s="29"/>
      <c r="F12" s="29"/>
      <c r="G12" s="29"/>
      <c r="H12" s="30" t="s">
        <v>95</v>
      </c>
      <c r="I12" s="30"/>
      <c r="J12" s="30"/>
      <c r="K12" s="30"/>
      <c r="L12" s="30"/>
    </row>
    <row r="13" customFormat="false" ht="30" hidden="false" customHeight="true" outlineLevel="0" collapsed="false">
      <c r="A13" s="21" t="s">
        <v>98</v>
      </c>
      <c r="B13" s="24" t="str">
        <f aca="false">INDEX(条文マスタ!$C$5:$C$24,MATCH($A13,条文マスタ!$A$5:$A$24,0))</f>
        <v>管理技術者等（設計図書の理解・現場状況の精通）</v>
      </c>
      <c r="C13" s="24"/>
      <c r="D13" s="24"/>
      <c r="E13" s="24"/>
      <c r="F13" s="24"/>
      <c r="G13" s="25" t="str">
        <f aca="false">INDEX(条文マスタ!$D$5:$D$24,MATCH($A13,条文マスタ!$A$5:$A$24,0))</f>
        <v>請負工事の契約書及び設計図書等の内容を十分理解し、更に工事現場の状況についても精通しておくこと。</v>
      </c>
      <c r="H13" s="25"/>
      <c r="I13" s="26" t="str">
        <f aca="false">COUNT($C$14:$C$14)&amp;"件"</f>
        <v>1件</v>
      </c>
      <c r="J13" s="21" t="s">
        <v>35</v>
      </c>
      <c r="K13" s="21" t="str">
        <f aca="false">IF(COUNT($C$14:$C$14)=0,0,SUMPRODUCT(($C$14:$C$14&lt;&gt;"")/COUNTIFS($D$14:$D$14,$D$14:$D$14&amp;"")))&amp;"日"</f>
        <v>1日</v>
      </c>
      <c r="L13" s="27"/>
    </row>
    <row r="14" customFormat="false" ht="15" hidden="false" customHeight="false" outlineLevel="0" collapsed="false">
      <c r="A14" s="31" t="s">
        <v>99</v>
      </c>
      <c r="B14" s="32"/>
      <c r="C14" s="33" t="n">
        <v>1</v>
      </c>
      <c r="D14" s="34" t="n">
        <v>46210</v>
      </c>
      <c r="E14" s="33" t="str">
        <f aca="false">MID("日月火水木金土",WEEKDAY(D14),1)</f>
        <v>火</v>
      </c>
      <c r="F14" s="33" t="s">
        <v>100</v>
      </c>
      <c r="G14" s="17" t="s">
        <v>101</v>
      </c>
      <c r="H14" s="17" t="s">
        <v>102</v>
      </c>
      <c r="I14" s="17" t="s">
        <v>103</v>
      </c>
      <c r="J14" s="35" t="s">
        <v>104</v>
      </c>
      <c r="K14" s="36" t="n">
        <v>66</v>
      </c>
      <c r="L14" s="17"/>
    </row>
    <row r="15" customFormat="false" ht="30" hidden="false" customHeight="true" outlineLevel="0" collapsed="false">
      <c r="A15" s="21" t="s">
        <v>105</v>
      </c>
      <c r="B15" s="24" t="str">
        <f aca="false">INDEX(条文マスタ!$C$5:$C$24,MATCH($A15,条文マスタ!$A$5:$A$24,0))</f>
        <v>管理技術者等（図書の整理）</v>
      </c>
      <c r="C15" s="24"/>
      <c r="D15" s="24"/>
      <c r="E15" s="24"/>
      <c r="F15" s="24"/>
      <c r="G15" s="25" t="str">
        <f aca="false">INDEX(条文マスタ!$D$5:$D$24,MATCH($A15,条文マスタ!$A$5:$A$24,0))</f>
        <v>業務の実施にあたっては、業務に関する図書を適切に整理しておくこと。</v>
      </c>
      <c r="H15" s="25"/>
      <c r="I15" s="26" t="str">
        <f aca="false">COUNT($C$16:$C$22)&amp;"件"</f>
        <v>7件</v>
      </c>
      <c r="J15" s="21" t="s">
        <v>35</v>
      </c>
      <c r="K15" s="21" t="str">
        <f aca="false">IF(COUNT($C$16:$C$22)=0,0,SUMPRODUCT(($C$16:$C$22&lt;&gt;"")/COUNTIFS($D$16:$D$22,$D$16:$D$22&amp;"")))&amp;"日"</f>
        <v>4日</v>
      </c>
      <c r="L15" s="27"/>
    </row>
    <row r="16" customFormat="false" ht="15" hidden="false" customHeight="false" outlineLevel="0" collapsed="false">
      <c r="A16" s="31" t="s">
        <v>106</v>
      </c>
      <c r="B16" s="32"/>
      <c r="C16" s="35" t="n">
        <v>1</v>
      </c>
      <c r="D16" s="34" t="n">
        <v>46204</v>
      </c>
      <c r="E16" s="35" t="str">
        <f aca="false">MID("日月火水木金土",WEEKDAY(D16),1)</f>
        <v>水</v>
      </c>
      <c r="F16" s="33" t="s">
        <v>107</v>
      </c>
      <c r="G16" s="17" t="s">
        <v>108</v>
      </c>
      <c r="H16" s="17" t="s">
        <v>109</v>
      </c>
      <c r="I16" s="17"/>
      <c r="J16" s="35"/>
      <c r="K16" s="36" t="n">
        <v>62</v>
      </c>
      <c r="L16" s="17"/>
    </row>
    <row r="17" customFormat="false" ht="15" hidden="false" customHeight="false" outlineLevel="0" collapsed="false">
      <c r="A17" s="31" t="s">
        <v>106</v>
      </c>
      <c r="B17" s="32"/>
      <c r="C17" s="35" t="n">
        <v>2</v>
      </c>
      <c r="D17" s="34" t="n">
        <v>46204</v>
      </c>
      <c r="E17" s="35" t="str">
        <f aca="false">MID("日月火水木金土",WEEKDAY(D17),1)</f>
        <v>水</v>
      </c>
      <c r="F17" s="33" t="s">
        <v>100</v>
      </c>
      <c r="G17" s="17" t="s">
        <v>108</v>
      </c>
      <c r="H17" s="17" t="s">
        <v>109</v>
      </c>
      <c r="I17" s="17"/>
      <c r="J17" s="35"/>
      <c r="K17" s="36" t="n">
        <v>62</v>
      </c>
      <c r="L17" s="17"/>
    </row>
    <row r="18" customFormat="false" ht="15" hidden="false" customHeight="false" outlineLevel="0" collapsed="false">
      <c r="A18" s="31" t="s">
        <v>106</v>
      </c>
      <c r="B18" s="32"/>
      <c r="C18" s="35" t="n">
        <v>3</v>
      </c>
      <c r="D18" s="34" t="n">
        <v>46205</v>
      </c>
      <c r="E18" s="35" t="str">
        <f aca="false">MID("日月火水木金土",WEEKDAY(D18),1)</f>
        <v>木</v>
      </c>
      <c r="F18" s="33" t="s">
        <v>110</v>
      </c>
      <c r="G18" s="17" t="s">
        <v>108</v>
      </c>
      <c r="H18" s="17" t="s">
        <v>109</v>
      </c>
      <c r="I18" s="17"/>
      <c r="J18" s="35" t="s">
        <v>111</v>
      </c>
      <c r="K18" s="36" t="n">
        <v>63</v>
      </c>
      <c r="L18" s="17"/>
    </row>
    <row r="19" customFormat="false" ht="15" hidden="false" customHeight="false" outlineLevel="0" collapsed="false">
      <c r="A19" s="31" t="s">
        <v>106</v>
      </c>
      <c r="B19" s="32"/>
      <c r="C19" s="35" t="n">
        <v>4</v>
      </c>
      <c r="D19" s="34" t="n">
        <v>46205</v>
      </c>
      <c r="E19" s="35" t="str">
        <f aca="false">MID("日月火水木金土",WEEKDAY(D19),1)</f>
        <v>木</v>
      </c>
      <c r="F19" s="33" t="s">
        <v>100</v>
      </c>
      <c r="G19" s="17" t="s">
        <v>108</v>
      </c>
      <c r="H19" s="17" t="s">
        <v>109</v>
      </c>
      <c r="I19" s="17"/>
      <c r="J19" s="35" t="s">
        <v>111</v>
      </c>
      <c r="K19" s="36" t="n">
        <v>63</v>
      </c>
      <c r="L19" s="17"/>
    </row>
    <row r="20" customFormat="false" ht="15" hidden="false" customHeight="false" outlineLevel="0" collapsed="false">
      <c r="A20" s="31" t="s">
        <v>106</v>
      </c>
      <c r="B20" s="32"/>
      <c r="C20" s="35" t="n">
        <v>5</v>
      </c>
      <c r="D20" s="34" t="n">
        <v>46209</v>
      </c>
      <c r="E20" s="35" t="str">
        <f aca="false">MID("日月火水木金土",WEEKDAY(D20),1)</f>
        <v>月</v>
      </c>
      <c r="F20" s="33" t="s">
        <v>110</v>
      </c>
      <c r="G20" s="17" t="s">
        <v>108</v>
      </c>
      <c r="H20" s="17" t="s">
        <v>112</v>
      </c>
      <c r="I20" s="17"/>
      <c r="J20" s="35" t="s">
        <v>111</v>
      </c>
      <c r="K20" s="36" t="n">
        <v>65</v>
      </c>
      <c r="L20" s="17"/>
    </row>
    <row r="21" customFormat="false" ht="15" hidden="false" customHeight="false" outlineLevel="0" collapsed="false">
      <c r="A21" s="31" t="s">
        <v>106</v>
      </c>
      <c r="B21" s="32"/>
      <c r="C21" s="35" t="n">
        <v>6</v>
      </c>
      <c r="D21" s="34" t="n">
        <v>46210</v>
      </c>
      <c r="E21" s="35" t="str">
        <f aca="false">MID("日月火水木金土",WEEKDAY(D21),1)</f>
        <v>火</v>
      </c>
      <c r="F21" s="33" t="s">
        <v>110</v>
      </c>
      <c r="G21" s="17" t="s">
        <v>108</v>
      </c>
      <c r="H21" s="17" t="s">
        <v>113</v>
      </c>
      <c r="I21" s="17"/>
      <c r="J21" s="35" t="s">
        <v>111</v>
      </c>
      <c r="K21" s="36" t="n">
        <v>66</v>
      </c>
      <c r="L21" s="17"/>
    </row>
    <row r="22" customFormat="false" ht="15" hidden="false" customHeight="false" outlineLevel="0" collapsed="false">
      <c r="A22" s="31" t="s">
        <v>106</v>
      </c>
      <c r="B22" s="32"/>
      <c r="C22" s="35" t="n">
        <v>7</v>
      </c>
      <c r="D22" s="34" t="n">
        <v>46210</v>
      </c>
      <c r="E22" s="35" t="str">
        <f aca="false">MID("日月火水木金土",WEEKDAY(D22),1)</f>
        <v>火</v>
      </c>
      <c r="F22" s="33" t="s">
        <v>114</v>
      </c>
      <c r="G22" s="17" t="s">
        <v>108</v>
      </c>
      <c r="H22" s="17" t="s">
        <v>115</v>
      </c>
      <c r="I22" s="17"/>
      <c r="J22" s="35"/>
      <c r="K22" s="36" t="n">
        <v>66</v>
      </c>
      <c r="L22" s="17"/>
    </row>
    <row r="23" customFormat="false" ht="30" hidden="false" customHeight="true" outlineLevel="0" collapsed="false">
      <c r="A23" s="21" t="s">
        <v>116</v>
      </c>
      <c r="B23" s="24" t="str">
        <f aca="false">INDEX(条文マスタ!$C$5:$C$24,MATCH($A23,条文マスタ!$A$5:$A$24,0))</f>
        <v>管理技術者等（監督職員との打合せ・協議）</v>
      </c>
      <c r="C23" s="24"/>
      <c r="D23" s="24"/>
      <c r="E23" s="24"/>
      <c r="F23" s="24"/>
      <c r="G23" s="25" t="str">
        <f aca="false">INDEX(条文マスタ!$D$5:$D$24,MATCH($A23,条文マスタ!$A$5:$A$24,0))</f>
        <v>管理技術者は、特記仕様書に定めるところにより監督職員と打合せ・協議を行い、その結果について相互に確認する（特記仕様書：着手時及び最終時の計2回）。</v>
      </c>
      <c r="H23" s="25"/>
      <c r="I23" s="26" t="str">
        <f aca="false">COUNT($C$24:$C$24)&amp;"件"</f>
        <v>0件</v>
      </c>
      <c r="J23" s="21" t="s">
        <v>35</v>
      </c>
      <c r="K23" s="21" t="str">
        <f aca="false">IF(COUNT($C$24:$C$24)=0,0,SUMPRODUCT(($C$24:$C$24&lt;&gt;"")/COUNTIFS($D$24:$D$24,$D$24:$D$24&amp;"")))&amp;"日"</f>
        <v>0日</v>
      </c>
      <c r="L23" s="27"/>
    </row>
    <row r="24" customFormat="false" ht="15" hidden="false" customHeight="false" outlineLevel="0" collapsed="false">
      <c r="A24" s="28" t="s">
        <v>117</v>
      </c>
      <c r="B24" s="29"/>
      <c r="C24" s="29"/>
      <c r="D24" s="29"/>
      <c r="E24" s="29"/>
      <c r="F24" s="29"/>
      <c r="G24" s="29"/>
      <c r="H24" s="30" t="s">
        <v>95</v>
      </c>
      <c r="I24" s="30"/>
      <c r="J24" s="30"/>
      <c r="K24" s="30"/>
      <c r="L24" s="30"/>
    </row>
    <row r="25" customFormat="false" ht="30" hidden="false" customHeight="true" outlineLevel="0" collapsed="false">
      <c r="A25" s="21" t="s">
        <v>118</v>
      </c>
      <c r="B25" s="24" t="str">
        <f aca="false">INDEX(条文マスタ!$C$5:$C$24,MATCH($A25,条文マスタ!$A$5:$A$24,0))</f>
        <v>業務処理予定表及び結果報告書</v>
      </c>
      <c r="C25" s="24"/>
      <c r="D25" s="24"/>
      <c r="E25" s="24"/>
      <c r="F25" s="24"/>
      <c r="G25" s="25" t="str">
        <f aca="false">INDEX(条文マスタ!$D$5:$D$24,MATCH($A25,条文マスタ!$A$5:$A$24,0))</f>
        <v>業務処理予定表及び業務処理結果報告書（実施した業務の内容、その他必要事項）を作成し、監督職員に提出する。</v>
      </c>
      <c r="H25" s="25"/>
      <c r="I25" s="26" t="str">
        <f aca="false">COUNT($C$26:$C$47)&amp;"件"</f>
        <v>22件</v>
      </c>
      <c r="J25" s="21" t="s">
        <v>35</v>
      </c>
      <c r="K25" s="21" t="str">
        <f aca="false">IF(COUNT($C$26:$C$47)=0,0,SUMPRODUCT(($C$26:$C$47&lt;&gt;"")/COUNTIFS($D$26:$D$47,$D$26:$D$47&amp;"")))&amp;"日"</f>
        <v>22日</v>
      </c>
      <c r="L25" s="27"/>
    </row>
    <row r="26" customFormat="false" ht="26.85" hidden="false" customHeight="false" outlineLevel="0" collapsed="false">
      <c r="A26" s="31" t="s">
        <v>119</v>
      </c>
      <c r="B26" s="32"/>
      <c r="C26" s="35" t="n">
        <v>1</v>
      </c>
      <c r="D26" s="34" t="n">
        <v>46204</v>
      </c>
      <c r="E26" s="35" t="str">
        <f aca="false">MID("日月火水木金土",WEEKDAY(D26),1)</f>
        <v>水</v>
      </c>
      <c r="F26" s="33" t="s">
        <v>120</v>
      </c>
      <c r="G26" s="19" t="s">
        <v>40</v>
      </c>
      <c r="H26" s="19" t="s">
        <v>121</v>
      </c>
      <c r="I26" s="17"/>
      <c r="J26" s="35" t="s">
        <v>111</v>
      </c>
      <c r="K26" s="36" t="n">
        <v>62</v>
      </c>
      <c r="L26" s="17" t="s">
        <v>122</v>
      </c>
    </row>
    <row r="27" customFormat="false" ht="26.85" hidden="false" customHeight="false" outlineLevel="0" collapsed="false">
      <c r="A27" s="31" t="s">
        <v>119</v>
      </c>
      <c r="B27" s="32"/>
      <c r="C27" s="35" t="n">
        <v>2</v>
      </c>
      <c r="D27" s="34" t="n">
        <v>46205</v>
      </c>
      <c r="E27" s="35" t="str">
        <f aca="false">MID("日月火水木金土",WEEKDAY(D27),1)</f>
        <v>木</v>
      </c>
      <c r="F27" s="33" t="s">
        <v>120</v>
      </c>
      <c r="G27" s="19" t="s">
        <v>40</v>
      </c>
      <c r="H27" s="19" t="s">
        <v>121</v>
      </c>
      <c r="I27" s="17"/>
      <c r="J27" s="35" t="s">
        <v>111</v>
      </c>
      <c r="K27" s="36" t="n">
        <v>63</v>
      </c>
      <c r="L27" s="17" t="s">
        <v>122</v>
      </c>
    </row>
    <row r="28" customFormat="false" ht="26.85" hidden="false" customHeight="false" outlineLevel="0" collapsed="false">
      <c r="A28" s="31" t="s">
        <v>119</v>
      </c>
      <c r="B28" s="32"/>
      <c r="C28" s="35" t="n">
        <v>3</v>
      </c>
      <c r="D28" s="34" t="n">
        <v>46206</v>
      </c>
      <c r="E28" s="35" t="str">
        <f aca="false">MID("日月火水木金土",WEEKDAY(D28),1)</f>
        <v>金</v>
      </c>
      <c r="F28" s="33" t="s">
        <v>120</v>
      </c>
      <c r="G28" s="19" t="s">
        <v>40</v>
      </c>
      <c r="H28" s="19" t="s">
        <v>121</v>
      </c>
      <c r="I28" s="17"/>
      <c r="J28" s="35" t="s">
        <v>123</v>
      </c>
      <c r="K28" s="36" t="n">
        <v>64</v>
      </c>
      <c r="L28" s="17" t="s">
        <v>122</v>
      </c>
    </row>
    <row r="29" customFormat="false" ht="26.85" hidden="false" customHeight="false" outlineLevel="0" collapsed="false">
      <c r="A29" s="31" t="s">
        <v>119</v>
      </c>
      <c r="B29" s="32"/>
      <c r="C29" s="35" t="n">
        <v>4</v>
      </c>
      <c r="D29" s="34" t="n">
        <v>46209</v>
      </c>
      <c r="E29" s="35" t="str">
        <f aca="false">MID("日月火水木金土",WEEKDAY(D29),1)</f>
        <v>月</v>
      </c>
      <c r="F29" s="33" t="s">
        <v>120</v>
      </c>
      <c r="G29" s="19" t="s">
        <v>40</v>
      </c>
      <c r="H29" s="19" t="s">
        <v>121</v>
      </c>
      <c r="I29" s="17"/>
      <c r="J29" s="35" t="s">
        <v>111</v>
      </c>
      <c r="K29" s="36" t="n">
        <v>65</v>
      </c>
      <c r="L29" s="17" t="s">
        <v>122</v>
      </c>
    </row>
    <row r="30" customFormat="false" ht="26.85" hidden="false" customHeight="false" outlineLevel="0" collapsed="false">
      <c r="A30" s="31" t="s">
        <v>119</v>
      </c>
      <c r="B30" s="32"/>
      <c r="C30" s="35" t="n">
        <v>5</v>
      </c>
      <c r="D30" s="34" t="n">
        <v>46210</v>
      </c>
      <c r="E30" s="35" t="str">
        <f aca="false">MID("日月火水木金土",WEEKDAY(D30),1)</f>
        <v>火</v>
      </c>
      <c r="F30" s="33" t="s">
        <v>124</v>
      </c>
      <c r="G30" s="19" t="s">
        <v>40</v>
      </c>
      <c r="H30" s="19" t="s">
        <v>125</v>
      </c>
      <c r="I30" s="17"/>
      <c r="J30" s="35"/>
      <c r="K30" s="36" t="n">
        <v>66</v>
      </c>
      <c r="L30" s="17" t="s">
        <v>122</v>
      </c>
    </row>
    <row r="31" customFormat="false" ht="26.85" hidden="false" customHeight="false" outlineLevel="0" collapsed="false">
      <c r="A31" s="31" t="s">
        <v>119</v>
      </c>
      <c r="B31" s="32"/>
      <c r="C31" s="35" t="n">
        <v>6</v>
      </c>
      <c r="D31" s="34" t="n">
        <v>46211</v>
      </c>
      <c r="E31" s="35" t="str">
        <f aca="false">MID("日月火水木金土",WEEKDAY(D31),1)</f>
        <v>水</v>
      </c>
      <c r="F31" s="33" t="s">
        <v>120</v>
      </c>
      <c r="G31" s="19" t="s">
        <v>40</v>
      </c>
      <c r="H31" s="19" t="s">
        <v>126</v>
      </c>
      <c r="I31" s="17"/>
      <c r="J31" s="35" t="s">
        <v>111</v>
      </c>
      <c r="K31" s="36" t="n">
        <v>67</v>
      </c>
      <c r="L31" s="17" t="s">
        <v>122</v>
      </c>
    </row>
    <row r="32" customFormat="false" ht="26.85" hidden="false" customHeight="false" outlineLevel="0" collapsed="false">
      <c r="A32" s="31" t="s">
        <v>119</v>
      </c>
      <c r="B32" s="32"/>
      <c r="C32" s="35" t="n">
        <v>7</v>
      </c>
      <c r="D32" s="34" t="n">
        <v>46212</v>
      </c>
      <c r="E32" s="35" t="str">
        <f aca="false">MID("日月火水木金土",WEEKDAY(D32),1)</f>
        <v>木</v>
      </c>
      <c r="F32" s="33" t="s">
        <v>120</v>
      </c>
      <c r="G32" s="19" t="s">
        <v>40</v>
      </c>
      <c r="H32" s="19" t="s">
        <v>121</v>
      </c>
      <c r="I32" s="17"/>
      <c r="J32" s="35" t="s">
        <v>111</v>
      </c>
      <c r="K32" s="36" t="n">
        <v>68</v>
      </c>
      <c r="L32" s="17" t="s">
        <v>122</v>
      </c>
    </row>
    <row r="33" customFormat="false" ht="26.85" hidden="false" customHeight="false" outlineLevel="0" collapsed="false">
      <c r="A33" s="31" t="s">
        <v>119</v>
      </c>
      <c r="B33" s="32"/>
      <c r="C33" s="35" t="n">
        <v>8</v>
      </c>
      <c r="D33" s="34" t="n">
        <v>46213</v>
      </c>
      <c r="E33" s="35" t="str">
        <f aca="false">MID("日月火水木金土",WEEKDAY(D33),1)</f>
        <v>金</v>
      </c>
      <c r="F33" s="33" t="s">
        <v>120</v>
      </c>
      <c r="G33" s="19" t="s">
        <v>40</v>
      </c>
      <c r="H33" s="19" t="s">
        <v>121</v>
      </c>
      <c r="I33" s="17"/>
      <c r="J33" s="35" t="s">
        <v>111</v>
      </c>
      <c r="K33" s="36" t="n">
        <v>69</v>
      </c>
      <c r="L33" s="17" t="s">
        <v>122</v>
      </c>
    </row>
    <row r="34" customFormat="false" ht="26.85" hidden="false" customHeight="false" outlineLevel="0" collapsed="false">
      <c r="A34" s="31" t="s">
        <v>119</v>
      </c>
      <c r="B34" s="32"/>
      <c r="C34" s="35" t="n">
        <v>9</v>
      </c>
      <c r="D34" s="34" t="n">
        <v>46216</v>
      </c>
      <c r="E34" s="35" t="str">
        <f aca="false">MID("日月火水木金土",WEEKDAY(D34),1)</f>
        <v>月</v>
      </c>
      <c r="F34" s="33" t="s">
        <v>120</v>
      </c>
      <c r="G34" s="19" t="s">
        <v>40</v>
      </c>
      <c r="H34" s="19" t="s">
        <v>121</v>
      </c>
      <c r="I34" s="17"/>
      <c r="J34" s="35" t="s">
        <v>111</v>
      </c>
      <c r="K34" s="36" t="n">
        <v>70</v>
      </c>
      <c r="L34" s="17" t="s">
        <v>122</v>
      </c>
    </row>
    <row r="35" customFormat="false" ht="26.85" hidden="false" customHeight="false" outlineLevel="0" collapsed="false">
      <c r="A35" s="31" t="s">
        <v>119</v>
      </c>
      <c r="B35" s="32"/>
      <c r="C35" s="35" t="n">
        <v>10</v>
      </c>
      <c r="D35" s="34" t="n">
        <v>46217</v>
      </c>
      <c r="E35" s="35" t="str">
        <f aca="false">MID("日月火水木金土",WEEKDAY(D35),1)</f>
        <v>火</v>
      </c>
      <c r="F35" s="33" t="s">
        <v>120</v>
      </c>
      <c r="G35" s="19" t="s">
        <v>40</v>
      </c>
      <c r="H35" s="19" t="s">
        <v>121</v>
      </c>
      <c r="I35" s="17"/>
      <c r="J35" s="35" t="s">
        <v>111</v>
      </c>
      <c r="K35" s="36" t="n">
        <v>71</v>
      </c>
      <c r="L35" s="17" t="s">
        <v>122</v>
      </c>
    </row>
    <row r="36" customFormat="false" ht="26.85" hidden="false" customHeight="false" outlineLevel="0" collapsed="false">
      <c r="A36" s="31" t="s">
        <v>119</v>
      </c>
      <c r="B36" s="32"/>
      <c r="C36" s="35" t="n">
        <v>11</v>
      </c>
      <c r="D36" s="34" t="n">
        <v>46218</v>
      </c>
      <c r="E36" s="35" t="str">
        <f aca="false">MID("日月火水木金土",WEEKDAY(D36),1)</f>
        <v>水</v>
      </c>
      <c r="F36" s="33" t="s">
        <v>120</v>
      </c>
      <c r="G36" s="19" t="s">
        <v>40</v>
      </c>
      <c r="H36" s="19" t="s">
        <v>126</v>
      </c>
      <c r="I36" s="17"/>
      <c r="J36" s="35" t="s">
        <v>123</v>
      </c>
      <c r="K36" s="36" t="n">
        <v>72</v>
      </c>
      <c r="L36" s="17" t="s">
        <v>122</v>
      </c>
    </row>
    <row r="37" customFormat="false" ht="26.85" hidden="false" customHeight="false" outlineLevel="0" collapsed="false">
      <c r="A37" s="31" t="s">
        <v>119</v>
      </c>
      <c r="B37" s="32"/>
      <c r="C37" s="35" t="n">
        <v>12</v>
      </c>
      <c r="D37" s="34" t="n">
        <v>46219</v>
      </c>
      <c r="E37" s="35" t="str">
        <f aca="false">MID("日月火水木金土",WEEKDAY(D37),1)</f>
        <v>木</v>
      </c>
      <c r="F37" s="33" t="s">
        <v>124</v>
      </c>
      <c r="G37" s="19" t="s">
        <v>40</v>
      </c>
      <c r="H37" s="19" t="s">
        <v>125</v>
      </c>
      <c r="I37" s="17"/>
      <c r="J37" s="35"/>
      <c r="K37" s="36" t="n">
        <v>73</v>
      </c>
      <c r="L37" s="17" t="s">
        <v>122</v>
      </c>
    </row>
    <row r="38" customFormat="false" ht="26.85" hidden="false" customHeight="false" outlineLevel="0" collapsed="false">
      <c r="A38" s="31" t="s">
        <v>119</v>
      </c>
      <c r="B38" s="32"/>
      <c r="C38" s="35" t="n">
        <v>13</v>
      </c>
      <c r="D38" s="34" t="n">
        <v>46220</v>
      </c>
      <c r="E38" s="35" t="str">
        <f aca="false">MID("日月火水木金土",WEEKDAY(D38),1)</f>
        <v>金</v>
      </c>
      <c r="F38" s="33" t="s">
        <v>120</v>
      </c>
      <c r="G38" s="19" t="s">
        <v>40</v>
      </c>
      <c r="H38" s="19" t="s">
        <v>121</v>
      </c>
      <c r="I38" s="17"/>
      <c r="J38" s="35" t="s">
        <v>111</v>
      </c>
      <c r="K38" s="36" t="n">
        <v>74</v>
      </c>
      <c r="L38" s="17" t="s">
        <v>122</v>
      </c>
    </row>
    <row r="39" customFormat="false" ht="26.85" hidden="false" customHeight="false" outlineLevel="0" collapsed="false">
      <c r="A39" s="31" t="s">
        <v>119</v>
      </c>
      <c r="B39" s="32"/>
      <c r="C39" s="35" t="n">
        <v>14</v>
      </c>
      <c r="D39" s="34" t="n">
        <v>46224</v>
      </c>
      <c r="E39" s="35" t="str">
        <f aca="false">MID("日月火水木金土",WEEKDAY(D39),1)</f>
        <v>火</v>
      </c>
      <c r="F39" s="33" t="s">
        <v>120</v>
      </c>
      <c r="G39" s="19" t="s">
        <v>40</v>
      </c>
      <c r="H39" s="19" t="s">
        <v>126</v>
      </c>
      <c r="I39" s="17"/>
      <c r="J39" s="35" t="s">
        <v>111</v>
      </c>
      <c r="K39" s="36" t="n">
        <v>75</v>
      </c>
      <c r="L39" s="17" t="s">
        <v>122</v>
      </c>
    </row>
    <row r="40" customFormat="false" ht="26.85" hidden="false" customHeight="false" outlineLevel="0" collapsed="false">
      <c r="A40" s="31" t="s">
        <v>119</v>
      </c>
      <c r="B40" s="32"/>
      <c r="C40" s="35" t="n">
        <v>15</v>
      </c>
      <c r="D40" s="34" t="n">
        <v>46225</v>
      </c>
      <c r="E40" s="35" t="str">
        <f aca="false">MID("日月火水木金土",WEEKDAY(D40),1)</f>
        <v>水</v>
      </c>
      <c r="F40" s="33" t="s">
        <v>120</v>
      </c>
      <c r="G40" s="19" t="s">
        <v>40</v>
      </c>
      <c r="H40" s="19" t="s">
        <v>126</v>
      </c>
      <c r="I40" s="17"/>
      <c r="J40" s="35" t="s">
        <v>111</v>
      </c>
      <c r="K40" s="36" t="n">
        <v>76</v>
      </c>
      <c r="L40" s="17" t="s">
        <v>122</v>
      </c>
    </row>
    <row r="41" customFormat="false" ht="26.85" hidden="false" customHeight="false" outlineLevel="0" collapsed="false">
      <c r="A41" s="31" t="s">
        <v>119</v>
      </c>
      <c r="B41" s="32"/>
      <c r="C41" s="35" t="n">
        <v>16</v>
      </c>
      <c r="D41" s="34" t="n">
        <v>46226</v>
      </c>
      <c r="E41" s="35" t="str">
        <f aca="false">MID("日月火水木金土",WEEKDAY(D41),1)</f>
        <v>木</v>
      </c>
      <c r="F41" s="33" t="s">
        <v>127</v>
      </c>
      <c r="G41" s="19" t="s">
        <v>40</v>
      </c>
      <c r="H41" s="19" t="s">
        <v>128</v>
      </c>
      <c r="I41" s="17"/>
      <c r="J41" s="35"/>
      <c r="K41" s="36" t="n">
        <v>77</v>
      </c>
      <c r="L41" s="17" t="s">
        <v>122</v>
      </c>
    </row>
    <row r="42" customFormat="false" ht="26.85" hidden="false" customHeight="false" outlineLevel="0" collapsed="false">
      <c r="A42" s="31" t="s">
        <v>119</v>
      </c>
      <c r="B42" s="32"/>
      <c r="C42" s="35" t="n">
        <v>17</v>
      </c>
      <c r="D42" s="34" t="n">
        <v>46227</v>
      </c>
      <c r="E42" s="35" t="str">
        <f aca="false">MID("日月火水木金土",WEEKDAY(D42),1)</f>
        <v>金</v>
      </c>
      <c r="F42" s="33" t="s">
        <v>120</v>
      </c>
      <c r="G42" s="19" t="s">
        <v>40</v>
      </c>
      <c r="H42" s="19" t="s">
        <v>121</v>
      </c>
      <c r="I42" s="17"/>
      <c r="J42" s="35" t="s">
        <v>123</v>
      </c>
      <c r="K42" s="36" t="n">
        <v>78</v>
      </c>
      <c r="L42" s="17" t="s">
        <v>122</v>
      </c>
    </row>
    <row r="43" customFormat="false" ht="26.85" hidden="false" customHeight="false" outlineLevel="0" collapsed="false">
      <c r="A43" s="31" t="s">
        <v>119</v>
      </c>
      <c r="B43" s="32"/>
      <c r="C43" s="35" t="n">
        <v>18</v>
      </c>
      <c r="D43" s="34" t="n">
        <v>46230</v>
      </c>
      <c r="E43" s="35" t="str">
        <f aca="false">MID("日月火水木金土",WEEKDAY(D43),1)</f>
        <v>月</v>
      </c>
      <c r="F43" s="33" t="s">
        <v>120</v>
      </c>
      <c r="G43" s="19" t="s">
        <v>40</v>
      </c>
      <c r="H43" s="19" t="s">
        <v>121</v>
      </c>
      <c r="I43" s="17"/>
      <c r="J43" s="35" t="s">
        <v>104</v>
      </c>
      <c r="K43" s="36" t="n">
        <v>79</v>
      </c>
      <c r="L43" s="17" t="s">
        <v>122</v>
      </c>
    </row>
    <row r="44" customFormat="false" ht="26.85" hidden="false" customHeight="false" outlineLevel="0" collapsed="false">
      <c r="A44" s="31" t="s">
        <v>119</v>
      </c>
      <c r="B44" s="32"/>
      <c r="C44" s="35" t="n">
        <v>19</v>
      </c>
      <c r="D44" s="34" t="n">
        <v>46231</v>
      </c>
      <c r="E44" s="35" t="str">
        <f aca="false">MID("日月火水木金土",WEEKDAY(D44),1)</f>
        <v>火</v>
      </c>
      <c r="F44" s="33" t="s">
        <v>120</v>
      </c>
      <c r="G44" s="19" t="s">
        <v>40</v>
      </c>
      <c r="H44" s="19" t="s">
        <v>121</v>
      </c>
      <c r="I44" s="17"/>
      <c r="J44" s="35" t="s">
        <v>104</v>
      </c>
      <c r="K44" s="36" t="n">
        <v>80</v>
      </c>
      <c r="L44" s="17" t="s">
        <v>122</v>
      </c>
    </row>
    <row r="45" customFormat="false" ht="26.85" hidden="false" customHeight="false" outlineLevel="0" collapsed="false">
      <c r="A45" s="31" t="s">
        <v>119</v>
      </c>
      <c r="B45" s="32"/>
      <c r="C45" s="35" t="n">
        <v>20</v>
      </c>
      <c r="D45" s="34" t="n">
        <v>46232</v>
      </c>
      <c r="E45" s="35" t="str">
        <f aca="false">MID("日月火水木金土",WEEKDAY(D45),1)</f>
        <v>水</v>
      </c>
      <c r="F45" s="33" t="s">
        <v>120</v>
      </c>
      <c r="G45" s="19" t="s">
        <v>40</v>
      </c>
      <c r="H45" s="19" t="s">
        <v>121</v>
      </c>
      <c r="I45" s="17"/>
      <c r="J45" s="35" t="s">
        <v>111</v>
      </c>
      <c r="K45" s="36" t="n">
        <v>81</v>
      </c>
      <c r="L45" s="17" t="s">
        <v>122</v>
      </c>
    </row>
    <row r="46" customFormat="false" ht="26.85" hidden="false" customHeight="false" outlineLevel="0" collapsed="false">
      <c r="A46" s="31" t="s">
        <v>119</v>
      </c>
      <c r="B46" s="32"/>
      <c r="C46" s="35" t="n">
        <v>21</v>
      </c>
      <c r="D46" s="34" t="n">
        <v>46233</v>
      </c>
      <c r="E46" s="35" t="str">
        <f aca="false">MID("日月火水木金土",WEEKDAY(D46),1)</f>
        <v>木</v>
      </c>
      <c r="F46" s="33" t="s">
        <v>120</v>
      </c>
      <c r="G46" s="19" t="s">
        <v>40</v>
      </c>
      <c r="H46" s="19" t="s">
        <v>126</v>
      </c>
      <c r="I46" s="17"/>
      <c r="J46" s="35" t="s">
        <v>111</v>
      </c>
      <c r="K46" s="36" t="n">
        <v>82</v>
      </c>
      <c r="L46" s="17" t="s">
        <v>122</v>
      </c>
    </row>
    <row r="47" customFormat="false" ht="26.85" hidden="false" customHeight="false" outlineLevel="0" collapsed="false">
      <c r="A47" s="31" t="s">
        <v>119</v>
      </c>
      <c r="B47" s="32"/>
      <c r="C47" s="35" t="n">
        <v>22</v>
      </c>
      <c r="D47" s="34" t="n">
        <v>46234</v>
      </c>
      <c r="E47" s="35" t="str">
        <f aca="false">MID("日月火水木金土",WEEKDAY(D47),1)</f>
        <v>金</v>
      </c>
      <c r="F47" s="33" t="s">
        <v>120</v>
      </c>
      <c r="G47" s="19" t="s">
        <v>40</v>
      </c>
      <c r="H47" s="19" t="s">
        <v>126</v>
      </c>
      <c r="I47" s="17"/>
      <c r="J47" s="35" t="s">
        <v>111</v>
      </c>
      <c r="K47" s="36" t="n">
        <v>83</v>
      </c>
      <c r="L47" s="17" t="s">
        <v>122</v>
      </c>
    </row>
    <row r="48" customFormat="false" ht="30" hidden="false" customHeight="true" outlineLevel="0" collapsed="false">
      <c r="A48" s="21" t="s">
        <v>129</v>
      </c>
      <c r="B48" s="24" t="str">
        <f aca="false">INDEX(条文マスタ!$C$5:$C$24,MATCH($A48,条文マスタ!$A$5:$A$24,0))</f>
        <v>業務完了時の提出書類</v>
      </c>
      <c r="C48" s="24"/>
      <c r="D48" s="24"/>
      <c r="E48" s="24"/>
      <c r="F48" s="24"/>
      <c r="G48" s="25" t="str">
        <f aca="false">INDEX(条文マスタ!$D$5:$D$24,MATCH($A48,条文マスタ!$A$5:$A$24,0))</f>
        <v>業務完了時に、業務処理結果報告書を一括整理して提出する。</v>
      </c>
      <c r="H48" s="25"/>
      <c r="I48" s="26" t="str">
        <f aca="false">COUNT($C$49:$C$49)&amp;"件"</f>
        <v>0件</v>
      </c>
      <c r="J48" s="21" t="s">
        <v>35</v>
      </c>
      <c r="K48" s="21" t="str">
        <f aca="false">IF(COUNT($C$49:$C$49)=0,0,SUMPRODUCT(($C$49:$C$49&lt;&gt;"")/COUNTIFS($D$49:$D$49,$D$49:$D$49&amp;"")))&amp;"日"</f>
        <v>0日</v>
      </c>
      <c r="L48" s="27"/>
    </row>
    <row r="49" customFormat="false" ht="15" hidden="false" customHeight="false" outlineLevel="0" collapsed="false">
      <c r="A49" s="28" t="s">
        <v>130</v>
      </c>
      <c r="B49" s="29"/>
      <c r="C49" s="29"/>
      <c r="D49" s="29"/>
      <c r="E49" s="29"/>
      <c r="F49" s="29"/>
      <c r="G49" s="29"/>
      <c r="H49" s="30" t="s">
        <v>95</v>
      </c>
      <c r="I49" s="30"/>
      <c r="J49" s="30"/>
      <c r="K49" s="30"/>
      <c r="L49" s="30"/>
    </row>
    <row r="50" customFormat="false" ht="30" hidden="false" customHeight="true" outlineLevel="0" collapsed="false">
      <c r="A50" s="21" t="s">
        <v>131</v>
      </c>
      <c r="B50" s="24" t="str">
        <f aca="false">INDEX(条文マスタ!$C$5:$C$24,MATCH($A50,条文マスタ!$A$5:$A$24,0))</f>
        <v>書類の確認</v>
      </c>
      <c r="C50" s="24"/>
      <c r="D50" s="24"/>
      <c r="E50" s="24"/>
      <c r="F50" s="24"/>
      <c r="G50" s="25" t="str">
        <f aca="false">INDEX(条文マスタ!$D$5:$D$24,MATCH($A50,条文マスタ!$A$5:$A$24,0))</f>
        <v>工事請負者から提出された書類は、これを確認し監督職員に報告しなければならない。</v>
      </c>
      <c r="H50" s="25"/>
      <c r="I50" s="26" t="str">
        <f aca="false">COUNT($C$51:$C$52)&amp;"件"</f>
        <v>2件</v>
      </c>
      <c r="J50" s="21" t="s">
        <v>35</v>
      </c>
      <c r="K50" s="21" t="str">
        <f aca="false">IF(COUNT($C$51:$C$52)=0,0,SUMPRODUCT(($C$51:$C$52&lt;&gt;"")/COUNTIFS($D$51:$D$52,$D$51:$D$52&amp;"")))&amp;"日"</f>
        <v>2日</v>
      </c>
      <c r="L50" s="27"/>
    </row>
    <row r="51" customFormat="false" ht="26.85" hidden="false" customHeight="false" outlineLevel="0" collapsed="false">
      <c r="A51" s="31" t="s">
        <v>132</v>
      </c>
      <c r="B51" s="32"/>
      <c r="C51" s="35" t="n">
        <v>1</v>
      </c>
      <c r="D51" s="34" t="n">
        <v>46224</v>
      </c>
      <c r="E51" s="35" t="str">
        <f aca="false">MID("日月火水木金土",WEEKDAY(D51),1)</f>
        <v>火</v>
      </c>
      <c r="F51" s="33" t="s">
        <v>133</v>
      </c>
      <c r="G51" s="17" t="s">
        <v>134</v>
      </c>
      <c r="H51" s="17" t="s">
        <v>135</v>
      </c>
      <c r="I51" s="17"/>
      <c r="J51" s="35" t="s">
        <v>136</v>
      </c>
      <c r="K51" s="36" t="n">
        <v>75</v>
      </c>
      <c r="L51" s="17"/>
    </row>
    <row r="52" customFormat="false" ht="26.85" hidden="false" customHeight="false" outlineLevel="0" collapsed="false">
      <c r="A52" s="31" t="s">
        <v>132</v>
      </c>
      <c r="B52" s="32"/>
      <c r="C52" s="35" t="n">
        <v>2</v>
      </c>
      <c r="D52" s="34" t="n">
        <v>46226</v>
      </c>
      <c r="E52" s="35" t="str">
        <f aca="false">MID("日月火水木金土",WEEKDAY(D52),1)</f>
        <v>木</v>
      </c>
      <c r="F52" s="33" t="s">
        <v>137</v>
      </c>
      <c r="G52" s="17" t="s">
        <v>138</v>
      </c>
      <c r="H52" s="19" t="s">
        <v>139</v>
      </c>
      <c r="I52" s="17"/>
      <c r="J52" s="35" t="s">
        <v>140</v>
      </c>
      <c r="K52" s="36" t="n">
        <v>77</v>
      </c>
      <c r="L52" s="17"/>
    </row>
    <row r="53" customFormat="false" ht="30" hidden="false" customHeight="true" outlineLevel="0" collapsed="false">
      <c r="A53" s="21" t="s">
        <v>141</v>
      </c>
      <c r="B53" s="24" t="str">
        <f aca="false">INDEX(条文マスタ!$C$5:$C$24,MATCH($A53,条文マスタ!$A$5:$A$24,0))</f>
        <v>立会</v>
      </c>
      <c r="C53" s="24"/>
      <c r="D53" s="24"/>
      <c r="E53" s="24"/>
      <c r="F53" s="24"/>
      <c r="G53" s="25" t="str">
        <f aca="false">INDEX(条文マスタ!$D$5:$D$24,MATCH($A53,条文マスタ!$A$5:$A$24,0))</f>
        <v>設計図書に基づき立会いを行った場合は、その結果を書面で監督職員に報告する。</v>
      </c>
      <c r="H53" s="25"/>
      <c r="I53" s="26" t="str">
        <f aca="false">COUNT($C$54:$C$61)&amp;"件"</f>
        <v>8件</v>
      </c>
      <c r="J53" s="21" t="s">
        <v>35</v>
      </c>
      <c r="K53" s="21" t="str">
        <f aca="false">IF(COUNT($C$54:$C$61)=0,0,SUMPRODUCT(($C$54:$C$61&lt;&gt;"")/COUNTIFS($D$54:$D$61,$D$54:$D$61&amp;"")))&amp;"日"</f>
        <v>6日</v>
      </c>
      <c r="L53" s="27"/>
    </row>
    <row r="54" customFormat="false" ht="15" hidden="false" customHeight="false" outlineLevel="0" collapsed="false">
      <c r="A54" s="31" t="s">
        <v>142</v>
      </c>
      <c r="B54" s="32"/>
      <c r="C54" s="35" t="n">
        <v>1</v>
      </c>
      <c r="D54" s="34" t="n">
        <v>46210</v>
      </c>
      <c r="E54" s="35" t="str">
        <f aca="false">MID("日月火水木金土",WEEKDAY(D54),1)</f>
        <v>火</v>
      </c>
      <c r="F54" s="33" t="s">
        <v>133</v>
      </c>
      <c r="G54" s="17" t="s">
        <v>101</v>
      </c>
      <c r="H54" s="17" t="s">
        <v>143</v>
      </c>
      <c r="I54" s="17" t="s">
        <v>103</v>
      </c>
      <c r="J54" s="35" t="s">
        <v>104</v>
      </c>
      <c r="K54" s="36" t="n">
        <v>66</v>
      </c>
      <c r="L54" s="17"/>
    </row>
    <row r="55" customFormat="false" ht="15" hidden="false" customHeight="false" outlineLevel="0" collapsed="false">
      <c r="A55" s="31" t="s">
        <v>142</v>
      </c>
      <c r="B55" s="32"/>
      <c r="C55" s="35" t="n">
        <v>2</v>
      </c>
      <c r="D55" s="34" t="n">
        <v>46211</v>
      </c>
      <c r="E55" s="35" t="str">
        <f aca="false">MID("日月火水木金土",WEEKDAY(D55),1)</f>
        <v>水</v>
      </c>
      <c r="F55" s="33" t="s">
        <v>144</v>
      </c>
      <c r="G55" s="17" t="s">
        <v>145</v>
      </c>
      <c r="H55" s="17" t="s">
        <v>146</v>
      </c>
      <c r="I55" s="17" t="s">
        <v>147</v>
      </c>
      <c r="J55" s="35" t="s">
        <v>111</v>
      </c>
      <c r="K55" s="36" t="n">
        <v>67</v>
      </c>
      <c r="L55" s="17"/>
    </row>
    <row r="56" customFormat="false" ht="15" hidden="false" customHeight="false" outlineLevel="0" collapsed="false">
      <c r="A56" s="31" t="s">
        <v>142</v>
      </c>
      <c r="B56" s="32"/>
      <c r="C56" s="35" t="n">
        <v>3</v>
      </c>
      <c r="D56" s="34" t="n">
        <v>46211</v>
      </c>
      <c r="E56" s="35" t="str">
        <f aca="false">MID("日月火水木金土",WEEKDAY(D56),1)</f>
        <v>水</v>
      </c>
      <c r="F56" s="33" t="s">
        <v>137</v>
      </c>
      <c r="G56" s="17" t="s">
        <v>145</v>
      </c>
      <c r="H56" s="17" t="s">
        <v>148</v>
      </c>
      <c r="I56" s="17" t="s">
        <v>147</v>
      </c>
      <c r="J56" s="35" t="s">
        <v>111</v>
      </c>
      <c r="K56" s="36" t="n">
        <v>67</v>
      </c>
      <c r="L56" s="17"/>
    </row>
    <row r="57" customFormat="false" ht="15" hidden="false" customHeight="false" outlineLevel="0" collapsed="false">
      <c r="A57" s="31" t="s">
        <v>142</v>
      </c>
      <c r="B57" s="32"/>
      <c r="C57" s="35" t="n">
        <v>4</v>
      </c>
      <c r="D57" s="34" t="n">
        <v>46219</v>
      </c>
      <c r="E57" s="35" t="str">
        <f aca="false">MID("日月火水木金土",WEEKDAY(D57),1)</f>
        <v>木</v>
      </c>
      <c r="F57" s="33" t="s">
        <v>110</v>
      </c>
      <c r="G57" s="17" t="s">
        <v>101</v>
      </c>
      <c r="H57" s="17" t="s">
        <v>149</v>
      </c>
      <c r="I57" s="17" t="s">
        <v>103</v>
      </c>
      <c r="J57" s="35" t="s">
        <v>104</v>
      </c>
      <c r="K57" s="36" t="n">
        <v>73</v>
      </c>
      <c r="L57" s="17"/>
    </row>
    <row r="58" customFormat="false" ht="15" hidden="false" customHeight="false" outlineLevel="0" collapsed="false">
      <c r="A58" s="31" t="s">
        <v>142</v>
      </c>
      <c r="B58" s="32"/>
      <c r="C58" s="35" t="n">
        <v>5</v>
      </c>
      <c r="D58" s="34" t="n">
        <v>46220</v>
      </c>
      <c r="E58" s="35" t="str">
        <f aca="false">MID("日月火水木金土",WEEKDAY(D58),1)</f>
        <v>金</v>
      </c>
      <c r="F58" s="33" t="s">
        <v>100</v>
      </c>
      <c r="G58" s="17" t="s">
        <v>145</v>
      </c>
      <c r="H58" s="17" t="s">
        <v>150</v>
      </c>
      <c r="I58" s="17" t="s">
        <v>147</v>
      </c>
      <c r="J58" s="35" t="s">
        <v>111</v>
      </c>
      <c r="K58" s="36" t="n">
        <v>74</v>
      </c>
      <c r="L58" s="17"/>
    </row>
    <row r="59" customFormat="false" ht="15" hidden="false" customHeight="false" outlineLevel="0" collapsed="false">
      <c r="A59" s="31" t="s">
        <v>142</v>
      </c>
      <c r="B59" s="32"/>
      <c r="C59" s="35" t="n">
        <v>6</v>
      </c>
      <c r="D59" s="34" t="n">
        <v>46226</v>
      </c>
      <c r="E59" s="35" t="str">
        <f aca="false">MID("日月火水木金土",WEEKDAY(D59),1)</f>
        <v>木</v>
      </c>
      <c r="F59" s="33" t="s">
        <v>110</v>
      </c>
      <c r="G59" s="17" t="s">
        <v>101</v>
      </c>
      <c r="H59" s="17" t="s">
        <v>149</v>
      </c>
      <c r="I59" s="17" t="s">
        <v>103</v>
      </c>
      <c r="J59" s="35" t="s">
        <v>104</v>
      </c>
      <c r="K59" s="36" t="n">
        <v>77</v>
      </c>
      <c r="L59" s="17"/>
    </row>
    <row r="60" customFormat="false" ht="15" hidden="false" customHeight="false" outlineLevel="0" collapsed="false">
      <c r="A60" s="31" t="s">
        <v>142</v>
      </c>
      <c r="B60" s="32"/>
      <c r="C60" s="35" t="n">
        <v>7</v>
      </c>
      <c r="D60" s="34" t="n">
        <v>46227</v>
      </c>
      <c r="E60" s="35" t="str">
        <f aca="false">MID("日月火水木金土",WEEKDAY(D60),1)</f>
        <v>金</v>
      </c>
      <c r="F60" s="33" t="s">
        <v>110</v>
      </c>
      <c r="G60" s="17" t="s">
        <v>145</v>
      </c>
      <c r="H60" s="17" t="s">
        <v>146</v>
      </c>
      <c r="I60" s="17" t="s">
        <v>147</v>
      </c>
      <c r="J60" s="35" t="s">
        <v>111</v>
      </c>
      <c r="K60" s="36" t="n">
        <v>78</v>
      </c>
      <c r="L60" s="17"/>
    </row>
    <row r="61" customFormat="false" ht="15" hidden="false" customHeight="false" outlineLevel="0" collapsed="false">
      <c r="A61" s="31" t="s">
        <v>142</v>
      </c>
      <c r="B61" s="32"/>
      <c r="C61" s="35" t="n">
        <v>8</v>
      </c>
      <c r="D61" s="34" t="n">
        <v>46227</v>
      </c>
      <c r="E61" s="35" t="str">
        <f aca="false">MID("日月火水木金土",WEEKDAY(D61),1)</f>
        <v>金</v>
      </c>
      <c r="F61" s="33" t="s">
        <v>114</v>
      </c>
      <c r="G61" s="17" t="s">
        <v>145</v>
      </c>
      <c r="H61" s="17" t="s">
        <v>151</v>
      </c>
      <c r="I61" s="17" t="s">
        <v>147</v>
      </c>
      <c r="J61" s="35" t="s">
        <v>111</v>
      </c>
      <c r="K61" s="36" t="n">
        <v>78</v>
      </c>
      <c r="L61" s="17"/>
    </row>
    <row r="62" customFormat="false" ht="30" hidden="false" customHeight="true" outlineLevel="0" collapsed="false">
      <c r="A62" s="21" t="s">
        <v>152</v>
      </c>
      <c r="B62" s="24" t="str">
        <f aca="false">INDEX(条文マスタ!$C$5:$C$24,MATCH($A62,条文マスタ!$A$5:$A$24,0))</f>
        <v>検測</v>
      </c>
      <c r="C62" s="24"/>
      <c r="D62" s="24"/>
      <c r="E62" s="24"/>
      <c r="F62" s="24"/>
      <c r="G62" s="25" t="str">
        <f aca="false">INDEX(条文マスタ!$D$5:$D$24,MATCH($A62,条文マスタ!$A$5:$A$24,0))</f>
        <v>請負工事の施工が設計図書に示す所定の出来形及び品質を確保するため現地で検測を行い、その成果を監督職員に提出する。</v>
      </c>
      <c r="H62" s="25"/>
      <c r="I62" s="26" t="str">
        <f aca="false">COUNT($C$63:$C$63)&amp;"件"</f>
        <v>0件</v>
      </c>
      <c r="J62" s="21" t="s">
        <v>35</v>
      </c>
      <c r="K62" s="21" t="str">
        <f aca="false">IF(COUNT($C$63:$C$63)=0,0,SUMPRODUCT(($C$63:$C$63&lt;&gt;"")/COUNTIFS($D$63:$D$63,$D$63:$D$63&amp;"")))&amp;"日"</f>
        <v>0日</v>
      </c>
      <c r="L62" s="27"/>
    </row>
    <row r="63" customFormat="false" ht="15" hidden="false" customHeight="false" outlineLevel="0" collapsed="false">
      <c r="A63" s="28" t="s">
        <v>153</v>
      </c>
      <c r="B63" s="29"/>
      <c r="C63" s="29"/>
      <c r="D63" s="29"/>
      <c r="E63" s="29"/>
      <c r="F63" s="29"/>
      <c r="G63" s="29"/>
      <c r="H63" s="30" t="s">
        <v>95</v>
      </c>
      <c r="I63" s="30"/>
      <c r="J63" s="30"/>
      <c r="K63" s="30"/>
      <c r="L63" s="30"/>
    </row>
    <row r="64" customFormat="false" ht="30" hidden="false" customHeight="true" outlineLevel="0" collapsed="false">
      <c r="A64" s="21" t="s">
        <v>154</v>
      </c>
      <c r="B64" s="24" t="str">
        <f aca="false">INDEX(条文マスタ!$C$5:$C$24,MATCH($A64,条文マスタ!$A$5:$A$24,0))</f>
        <v>材料検査</v>
      </c>
      <c r="C64" s="24"/>
      <c r="D64" s="24"/>
      <c r="E64" s="24"/>
      <c r="F64" s="24"/>
      <c r="G64" s="25" t="str">
        <f aca="false">INDEX(条文マスタ!$D$5:$D$24,MATCH($A64,条文マスタ!$A$5:$A$24,0))</f>
        <v>材料検査を実施したときは、検査年月日・品名・寸法等・検査数量・検査結果及び合格数量等を付記して監督職員に提出する。</v>
      </c>
      <c r="H64" s="25"/>
      <c r="I64" s="26" t="str">
        <f aca="false">COUNT($C$65:$C$65)&amp;"件"</f>
        <v>0件</v>
      </c>
      <c r="J64" s="21" t="s">
        <v>35</v>
      </c>
      <c r="K64" s="21" t="str">
        <f aca="false">IF(COUNT($C$65:$C$65)=0,0,SUMPRODUCT(($C$65:$C$65&lt;&gt;"")/COUNTIFS($D$65:$D$65,$D$65:$D$65&amp;"")))&amp;"日"</f>
        <v>0日</v>
      </c>
      <c r="L64" s="27"/>
    </row>
    <row r="65" customFormat="false" ht="15" hidden="false" customHeight="false" outlineLevel="0" collapsed="false">
      <c r="A65" s="28" t="s">
        <v>155</v>
      </c>
      <c r="B65" s="29"/>
      <c r="C65" s="29"/>
      <c r="D65" s="29"/>
      <c r="E65" s="29"/>
      <c r="F65" s="29"/>
      <c r="G65" s="29"/>
      <c r="H65" s="30" t="s">
        <v>95</v>
      </c>
      <c r="I65" s="30"/>
      <c r="J65" s="30"/>
      <c r="K65" s="30"/>
      <c r="L65" s="30"/>
    </row>
    <row r="66" customFormat="false" ht="30" hidden="false" customHeight="true" outlineLevel="0" collapsed="false">
      <c r="A66" s="21" t="s">
        <v>156</v>
      </c>
      <c r="B66" s="24" t="str">
        <f aca="false">INDEX(条文マスタ!$C$5:$C$24,MATCH($A66,条文マスタ!$A$5:$A$24,0))</f>
        <v>工程管理</v>
      </c>
      <c r="C66" s="24"/>
      <c r="D66" s="24"/>
      <c r="E66" s="24"/>
      <c r="F66" s="24"/>
      <c r="G66" s="25" t="str">
        <f aca="false">INDEX(条文マスタ!$D$5:$D$24,MATCH($A66,条文マスタ!$A$5:$A$24,0))</f>
        <v>請負工事の進捗状況を把握し、工事が遅延するおそれがあれば遅滞なく書面で監督職員に報告する。</v>
      </c>
      <c r="H66" s="25"/>
      <c r="I66" s="26" t="str">
        <f aca="false">COUNT($C$67:$C$69)&amp;"件"</f>
        <v>3件</v>
      </c>
      <c r="J66" s="21" t="s">
        <v>35</v>
      </c>
      <c r="K66" s="21" t="str">
        <f aca="false">IF(COUNT($C$67:$C$69)=0,0,SUMPRODUCT(($C$67:$C$69&lt;&gt;"")/COUNTIFS($D$67:$D$69,$D$67:$D$69&amp;"")))&amp;"日"</f>
        <v>3日</v>
      </c>
      <c r="L66" s="27"/>
    </row>
    <row r="67" customFormat="false" ht="15" hidden="false" customHeight="false" outlineLevel="0" collapsed="false">
      <c r="A67" s="31" t="s">
        <v>157</v>
      </c>
      <c r="B67" s="32"/>
      <c r="C67" s="35" t="n">
        <v>1</v>
      </c>
      <c r="D67" s="34" t="n">
        <v>46204</v>
      </c>
      <c r="E67" s="35" t="str">
        <f aca="false">MID("日月火水木金土",WEEKDAY(D67),1)</f>
        <v>水</v>
      </c>
      <c r="F67" s="33" t="s">
        <v>114</v>
      </c>
      <c r="G67" s="17" t="s">
        <v>145</v>
      </c>
      <c r="H67" s="17" t="s">
        <v>158</v>
      </c>
      <c r="I67" s="17" t="s">
        <v>147</v>
      </c>
      <c r="J67" s="35" t="s">
        <v>111</v>
      </c>
      <c r="K67" s="36" t="n">
        <v>62</v>
      </c>
      <c r="L67" s="17"/>
    </row>
    <row r="68" customFormat="false" ht="15" hidden="false" customHeight="false" outlineLevel="0" collapsed="false">
      <c r="A68" s="31" t="s">
        <v>157</v>
      </c>
      <c r="B68" s="32"/>
      <c r="C68" s="35" t="n">
        <v>2</v>
      </c>
      <c r="D68" s="34" t="n">
        <v>46213</v>
      </c>
      <c r="E68" s="35" t="str">
        <f aca="false">MID("日月火水木金土",WEEKDAY(D68),1)</f>
        <v>金</v>
      </c>
      <c r="F68" s="33" t="s">
        <v>100</v>
      </c>
      <c r="G68" s="17" t="s">
        <v>145</v>
      </c>
      <c r="H68" s="17" t="s">
        <v>159</v>
      </c>
      <c r="I68" s="17" t="s">
        <v>147</v>
      </c>
      <c r="J68" s="35" t="s">
        <v>111</v>
      </c>
      <c r="K68" s="36" t="n">
        <v>69</v>
      </c>
      <c r="L68" s="17"/>
    </row>
    <row r="69" customFormat="false" ht="15" hidden="false" customHeight="false" outlineLevel="0" collapsed="false">
      <c r="A69" s="31" t="s">
        <v>157</v>
      </c>
      <c r="B69" s="32"/>
      <c r="C69" s="35" t="n">
        <v>3</v>
      </c>
      <c r="D69" s="34" t="n">
        <v>46225</v>
      </c>
      <c r="E69" s="35" t="str">
        <f aca="false">MID("日月火水木金土",WEEKDAY(D69),1)</f>
        <v>水</v>
      </c>
      <c r="F69" s="33" t="s">
        <v>137</v>
      </c>
      <c r="G69" s="17" t="s">
        <v>145</v>
      </c>
      <c r="H69" s="17" t="s">
        <v>159</v>
      </c>
      <c r="I69" s="17" t="s">
        <v>147</v>
      </c>
      <c r="J69" s="35" t="s">
        <v>111</v>
      </c>
      <c r="K69" s="36" t="n">
        <v>76</v>
      </c>
      <c r="L69" s="17"/>
    </row>
    <row r="70" customFormat="false" ht="30" hidden="false" customHeight="true" outlineLevel="0" collapsed="false">
      <c r="A70" s="21" t="s">
        <v>160</v>
      </c>
      <c r="B70" s="24" t="str">
        <f aca="false">INDEX(条文マスタ!$C$5:$C$24,MATCH($A70,条文マスタ!$A$5:$A$24,0))</f>
        <v>品質管理</v>
      </c>
      <c r="C70" s="24"/>
      <c r="D70" s="24"/>
      <c r="E70" s="24"/>
      <c r="F70" s="24"/>
      <c r="G70" s="25" t="str">
        <f aca="false">INDEX(条文マスタ!$D$5:$D$24,MATCH($A70,条文マスタ!$A$5:$A$24,0))</f>
        <v>工事受注者が仕様書に定められた品質管理試験を忠実に実行しているか確認し、その結果を書面で報告する。</v>
      </c>
      <c r="H70" s="25"/>
      <c r="I70" s="26" t="str">
        <f aca="false">COUNT($C$71:$C$71)&amp;"件"</f>
        <v>0件</v>
      </c>
      <c r="J70" s="21" t="s">
        <v>35</v>
      </c>
      <c r="K70" s="21" t="str">
        <f aca="false">IF(COUNT($C$71:$C$71)=0,0,SUMPRODUCT(($C$71:$C$71&lt;&gt;"")/COUNTIFS($D$71:$D$71,$D$71:$D$71&amp;"")))&amp;"日"</f>
        <v>0日</v>
      </c>
      <c r="L70" s="27"/>
    </row>
    <row r="71" customFormat="false" ht="15" hidden="false" customHeight="false" outlineLevel="0" collapsed="false">
      <c r="A71" s="28" t="s">
        <v>161</v>
      </c>
      <c r="B71" s="29"/>
      <c r="C71" s="29"/>
      <c r="D71" s="29"/>
      <c r="E71" s="29"/>
      <c r="F71" s="29"/>
      <c r="G71" s="29"/>
      <c r="H71" s="30" t="s">
        <v>95</v>
      </c>
      <c r="I71" s="30"/>
      <c r="J71" s="30"/>
      <c r="K71" s="30"/>
      <c r="L71" s="30"/>
    </row>
    <row r="72" customFormat="false" ht="30" hidden="false" customHeight="true" outlineLevel="0" collapsed="false">
      <c r="A72" s="21" t="s">
        <v>162</v>
      </c>
      <c r="B72" s="24" t="str">
        <f aca="false">INDEX(条文マスタ!$C$5:$C$24,MATCH($A72,条文マスタ!$A$5:$A$24,0))</f>
        <v>図面と現地の不一致等</v>
      </c>
      <c r="C72" s="24"/>
      <c r="D72" s="24"/>
      <c r="E72" s="24"/>
      <c r="F72" s="24"/>
      <c r="G72" s="25" t="str">
        <f aca="false">INDEX(条文マスタ!$D$5:$D$24,MATCH($A72,条文マスタ!$A$5:$A$24,0))</f>
        <v>設計図書と工事現場の状態の不一致等の通知を受けたときは、遅滞なく書面で監督職員に報告する。</v>
      </c>
      <c r="H72" s="25"/>
      <c r="I72" s="26" t="str">
        <f aca="false">COUNT($C$73:$C$73)&amp;"件"</f>
        <v>0件</v>
      </c>
      <c r="J72" s="21" t="s">
        <v>35</v>
      </c>
      <c r="K72" s="21" t="str">
        <f aca="false">IF(COUNT($C$73:$C$73)=0,0,SUMPRODUCT(($C$73:$C$73&lt;&gt;"")/COUNTIFS($D$73:$D$73,$D$73:$D$73&amp;"")))&amp;"日"</f>
        <v>0日</v>
      </c>
      <c r="L72" s="27"/>
    </row>
    <row r="73" customFormat="false" ht="15" hidden="false" customHeight="false" outlineLevel="0" collapsed="false">
      <c r="A73" s="28" t="s">
        <v>163</v>
      </c>
      <c r="B73" s="29"/>
      <c r="C73" s="29"/>
      <c r="D73" s="29"/>
      <c r="E73" s="29"/>
      <c r="F73" s="29"/>
      <c r="G73" s="29"/>
      <c r="H73" s="30" t="s">
        <v>95</v>
      </c>
      <c r="I73" s="30"/>
      <c r="J73" s="30"/>
      <c r="K73" s="30"/>
      <c r="L73" s="30"/>
    </row>
    <row r="74" customFormat="false" ht="30" hidden="false" customHeight="true" outlineLevel="0" collapsed="false">
      <c r="A74" s="21" t="s">
        <v>164</v>
      </c>
      <c r="B74" s="24" t="str">
        <f aca="false">INDEX(条文マスタ!$C$5:$C$24,MATCH($A74,条文マスタ!$A$5:$A$24,0))</f>
        <v>検査の立会</v>
      </c>
      <c r="C74" s="24"/>
      <c r="D74" s="24"/>
      <c r="E74" s="24"/>
      <c r="F74" s="24"/>
      <c r="G74" s="25" t="str">
        <f aca="false">INDEX(条文マスタ!$D$5:$D$24,MATCH($A74,条文マスタ!$A$5:$A$24,0))</f>
        <v>請負工事に係る工事検査及び監督職員が行う検査に立会い、求められる説明に応じる。</v>
      </c>
      <c r="H74" s="25"/>
      <c r="I74" s="26" t="str">
        <f aca="false">COUNT($C$75:$C$78)&amp;"件"</f>
        <v>4件</v>
      </c>
      <c r="J74" s="21" t="s">
        <v>35</v>
      </c>
      <c r="K74" s="21" t="str">
        <f aca="false">IF(COUNT($C$75:$C$78)=0,0,SUMPRODUCT(($C$75:$C$78&lt;&gt;"")/COUNTIFS($D$75:$D$78,$D$75:$D$78&amp;"")))&amp;"日"</f>
        <v>3日</v>
      </c>
      <c r="L74" s="27"/>
    </row>
    <row r="75" customFormat="false" ht="15" hidden="false" customHeight="false" outlineLevel="0" collapsed="false">
      <c r="A75" s="31" t="s">
        <v>165</v>
      </c>
      <c r="B75" s="32"/>
      <c r="C75" s="35" t="n">
        <v>1</v>
      </c>
      <c r="D75" s="34" t="n">
        <v>46226</v>
      </c>
      <c r="E75" s="35" t="str">
        <f aca="false">MID("日月火水木金土",WEEKDAY(D75),1)</f>
        <v>木</v>
      </c>
      <c r="F75" s="33" t="s">
        <v>166</v>
      </c>
      <c r="G75" s="17" t="s">
        <v>167</v>
      </c>
      <c r="H75" s="17" t="s">
        <v>168</v>
      </c>
      <c r="I75" s="17" t="s">
        <v>147</v>
      </c>
      <c r="J75" s="35" t="s">
        <v>111</v>
      </c>
      <c r="K75" s="36" t="n">
        <v>77</v>
      </c>
      <c r="L75" s="17"/>
    </row>
    <row r="76" customFormat="false" ht="15" hidden="false" customHeight="false" outlineLevel="0" collapsed="false">
      <c r="A76" s="31" t="s">
        <v>165</v>
      </c>
      <c r="B76" s="32"/>
      <c r="C76" s="35" t="n">
        <v>2</v>
      </c>
      <c r="D76" s="34" t="n">
        <v>46233</v>
      </c>
      <c r="E76" s="35" t="str">
        <f aca="false">MID("日月火水木金土",WEEKDAY(D76),1)</f>
        <v>木</v>
      </c>
      <c r="F76" s="33" t="s">
        <v>144</v>
      </c>
      <c r="G76" s="17" t="s">
        <v>169</v>
      </c>
      <c r="H76" s="17" t="s">
        <v>170</v>
      </c>
      <c r="I76" s="17" t="s">
        <v>171</v>
      </c>
      <c r="J76" s="35" t="s">
        <v>172</v>
      </c>
      <c r="K76" s="36" t="n">
        <v>82</v>
      </c>
      <c r="L76" s="17"/>
    </row>
    <row r="77" customFormat="false" ht="15" hidden="false" customHeight="false" outlineLevel="0" collapsed="false">
      <c r="A77" s="31" t="s">
        <v>165</v>
      </c>
      <c r="B77" s="32"/>
      <c r="C77" s="35" t="n">
        <v>3</v>
      </c>
      <c r="D77" s="34" t="n">
        <v>46233</v>
      </c>
      <c r="E77" s="35" t="str">
        <f aca="false">MID("日月火水木金土",WEEKDAY(D77),1)</f>
        <v>木</v>
      </c>
      <c r="F77" s="33" t="s">
        <v>133</v>
      </c>
      <c r="G77" s="17" t="s">
        <v>169</v>
      </c>
      <c r="H77" s="17" t="s">
        <v>173</v>
      </c>
      <c r="I77" s="17" t="s">
        <v>171</v>
      </c>
      <c r="J77" s="35" t="s">
        <v>172</v>
      </c>
      <c r="K77" s="36" t="n">
        <v>82</v>
      </c>
      <c r="L77" s="17"/>
    </row>
    <row r="78" customFormat="false" ht="15" hidden="false" customHeight="false" outlineLevel="0" collapsed="false">
      <c r="A78" s="31" t="s">
        <v>165</v>
      </c>
      <c r="B78" s="32"/>
      <c r="C78" s="35" t="n">
        <v>4</v>
      </c>
      <c r="D78" s="34" t="n">
        <v>46234</v>
      </c>
      <c r="E78" s="35" t="str">
        <f aca="false">MID("日月火水木金土",WEEKDAY(D78),1)</f>
        <v>金</v>
      </c>
      <c r="F78" s="33" t="s">
        <v>144</v>
      </c>
      <c r="G78" s="17" t="s">
        <v>174</v>
      </c>
      <c r="H78" s="17" t="s">
        <v>175</v>
      </c>
      <c r="I78" s="17" t="s">
        <v>176</v>
      </c>
      <c r="J78" s="35" t="s">
        <v>104</v>
      </c>
      <c r="K78" s="36" t="n">
        <v>83</v>
      </c>
      <c r="L78" s="17"/>
    </row>
    <row r="79" customFormat="false" ht="30" hidden="false" customHeight="true" outlineLevel="0" collapsed="false">
      <c r="A79" s="21" t="s">
        <v>177</v>
      </c>
      <c r="B79" s="24" t="str">
        <f aca="false">INDEX(条文マスタ!$C$5:$C$24,MATCH($A79,条文マスタ!$A$5:$A$24,0))</f>
        <v>設計変更工事検査等に関する図書</v>
      </c>
      <c r="C79" s="24"/>
      <c r="D79" s="24"/>
      <c r="E79" s="24"/>
      <c r="F79" s="24"/>
      <c r="G79" s="25" t="str">
        <f aca="false">INDEX(条文マスタ!$D$5:$D$24,MATCH($A79,条文マスタ!$A$5:$A$24,0))</f>
        <v>監督職員と協議のうえ、設計変更、工事完成検査若しくは既済部分検査等に必要な測量、測定又は図書等の資料作成を行う。</v>
      </c>
      <c r="H79" s="25"/>
      <c r="I79" s="26" t="str">
        <f aca="false">COUNT($C$80:$C$105)&amp;"件"</f>
        <v>26件</v>
      </c>
      <c r="J79" s="21" t="s">
        <v>35</v>
      </c>
      <c r="K79" s="21" t="str">
        <f aca="false">IF(COUNT($C$80:$C$105)=0,0,SUMPRODUCT(($C$80:$C$105&lt;&gt;"")/COUNTIFS($D$80:$D$105,$D$80:$D$105&amp;"")))&amp;"日"</f>
        <v>11日</v>
      </c>
      <c r="L79" s="27"/>
    </row>
    <row r="80" customFormat="false" ht="15" hidden="false" customHeight="false" outlineLevel="0" collapsed="false">
      <c r="A80" s="31" t="s">
        <v>178</v>
      </c>
      <c r="B80" s="32"/>
      <c r="C80" s="35" t="n">
        <v>1</v>
      </c>
      <c r="D80" s="34" t="n">
        <v>46212</v>
      </c>
      <c r="E80" s="35" t="str">
        <f aca="false">MID("日月火水木金土",WEEKDAY(D80),1)</f>
        <v>木</v>
      </c>
      <c r="F80" s="33" t="s">
        <v>100</v>
      </c>
      <c r="G80" s="17" t="s">
        <v>179</v>
      </c>
      <c r="H80" s="17" t="s">
        <v>180</v>
      </c>
      <c r="I80" s="17"/>
      <c r="J80" s="35" t="s">
        <v>111</v>
      </c>
      <c r="K80" s="36" t="n">
        <v>68</v>
      </c>
      <c r="L80" s="17"/>
    </row>
    <row r="81" customFormat="false" ht="15" hidden="false" customHeight="false" outlineLevel="0" collapsed="false">
      <c r="A81" s="31" t="s">
        <v>178</v>
      </c>
      <c r="B81" s="32"/>
      <c r="C81" s="35" t="n">
        <v>2</v>
      </c>
      <c r="D81" s="34" t="n">
        <v>46218</v>
      </c>
      <c r="E81" s="35" t="str">
        <f aca="false">MID("日月火水木金土",WEEKDAY(D81),1)</f>
        <v>水</v>
      </c>
      <c r="F81" s="33" t="s">
        <v>100</v>
      </c>
      <c r="G81" s="17" t="s">
        <v>181</v>
      </c>
      <c r="H81" s="17" t="s">
        <v>182</v>
      </c>
      <c r="I81" s="17"/>
      <c r="J81" s="35" t="s">
        <v>111</v>
      </c>
      <c r="K81" s="36" t="n">
        <v>72</v>
      </c>
      <c r="L81" s="17"/>
    </row>
    <row r="82" customFormat="false" ht="15" hidden="false" customHeight="false" outlineLevel="0" collapsed="false">
      <c r="A82" s="31" t="s">
        <v>178</v>
      </c>
      <c r="B82" s="32"/>
      <c r="C82" s="35" t="n">
        <v>3</v>
      </c>
      <c r="D82" s="34" t="n">
        <v>46219</v>
      </c>
      <c r="E82" s="35" t="str">
        <f aca="false">MID("日月火水木金土",WEEKDAY(D82),1)</f>
        <v>木</v>
      </c>
      <c r="F82" s="33" t="s">
        <v>100</v>
      </c>
      <c r="G82" s="17" t="s">
        <v>181</v>
      </c>
      <c r="H82" s="17" t="s">
        <v>182</v>
      </c>
      <c r="I82" s="17"/>
      <c r="J82" s="35" t="s">
        <v>111</v>
      </c>
      <c r="K82" s="36" t="n">
        <v>73</v>
      </c>
      <c r="L82" s="17"/>
    </row>
    <row r="83" customFormat="false" ht="15" hidden="false" customHeight="false" outlineLevel="0" collapsed="false">
      <c r="A83" s="31" t="s">
        <v>178</v>
      </c>
      <c r="B83" s="32"/>
      <c r="C83" s="35" t="n">
        <v>4</v>
      </c>
      <c r="D83" s="34" t="n">
        <v>46220</v>
      </c>
      <c r="E83" s="35" t="str">
        <f aca="false">MID("日月火水木金土",WEEKDAY(D83),1)</f>
        <v>金</v>
      </c>
      <c r="F83" s="33" t="s">
        <v>110</v>
      </c>
      <c r="G83" s="17" t="s">
        <v>167</v>
      </c>
      <c r="H83" s="17" t="s">
        <v>183</v>
      </c>
      <c r="I83" s="17"/>
      <c r="J83" s="35" t="s">
        <v>111</v>
      </c>
      <c r="K83" s="36" t="n">
        <v>74</v>
      </c>
      <c r="L83" s="17"/>
    </row>
    <row r="84" customFormat="false" ht="15" hidden="false" customHeight="false" outlineLevel="0" collapsed="false">
      <c r="A84" s="31" t="s">
        <v>178</v>
      </c>
      <c r="B84" s="32"/>
      <c r="C84" s="35" t="n">
        <v>5</v>
      </c>
      <c r="D84" s="34" t="n">
        <v>46220</v>
      </c>
      <c r="E84" s="35" t="str">
        <f aca="false">MID("日月火水木金土",WEEKDAY(D84),1)</f>
        <v>金</v>
      </c>
      <c r="F84" s="33" t="s">
        <v>133</v>
      </c>
      <c r="G84" s="17" t="s">
        <v>167</v>
      </c>
      <c r="H84" s="17" t="s">
        <v>184</v>
      </c>
      <c r="I84" s="17"/>
      <c r="J84" s="35" t="s">
        <v>111</v>
      </c>
      <c r="K84" s="36" t="n">
        <v>74</v>
      </c>
      <c r="L84" s="17"/>
    </row>
    <row r="85" customFormat="false" ht="15" hidden="false" customHeight="false" outlineLevel="0" collapsed="false">
      <c r="A85" s="31" t="s">
        <v>178</v>
      </c>
      <c r="B85" s="32"/>
      <c r="C85" s="35" t="n">
        <v>6</v>
      </c>
      <c r="D85" s="34" t="n">
        <v>46224</v>
      </c>
      <c r="E85" s="35" t="str">
        <f aca="false">MID("日月火水木金土",WEEKDAY(D85),1)</f>
        <v>火</v>
      </c>
      <c r="F85" s="33" t="s">
        <v>110</v>
      </c>
      <c r="G85" s="17" t="s">
        <v>181</v>
      </c>
      <c r="H85" s="17" t="s">
        <v>185</v>
      </c>
      <c r="I85" s="17"/>
      <c r="J85" s="35" t="s">
        <v>111</v>
      </c>
      <c r="K85" s="36" t="n">
        <v>75</v>
      </c>
      <c r="L85" s="17"/>
    </row>
    <row r="86" customFormat="false" ht="15" hidden="false" customHeight="false" outlineLevel="0" collapsed="false">
      <c r="A86" s="31" t="s">
        <v>178</v>
      </c>
      <c r="B86" s="32"/>
      <c r="C86" s="35" t="n">
        <v>7</v>
      </c>
      <c r="D86" s="34" t="n">
        <v>46224</v>
      </c>
      <c r="E86" s="35" t="str">
        <f aca="false">MID("日月火水木金土",WEEKDAY(D86),1)</f>
        <v>火</v>
      </c>
      <c r="F86" s="33" t="s">
        <v>100</v>
      </c>
      <c r="G86" s="17" t="s">
        <v>181</v>
      </c>
      <c r="H86" s="17" t="s">
        <v>185</v>
      </c>
      <c r="I86" s="17"/>
      <c r="J86" s="35" t="s">
        <v>111</v>
      </c>
      <c r="K86" s="36" t="n">
        <v>75</v>
      </c>
      <c r="L86" s="17"/>
    </row>
    <row r="87" customFormat="false" ht="15" hidden="false" customHeight="false" outlineLevel="0" collapsed="false">
      <c r="A87" s="31" t="s">
        <v>178</v>
      </c>
      <c r="B87" s="32"/>
      <c r="C87" s="35" t="n">
        <v>8</v>
      </c>
      <c r="D87" s="34" t="n">
        <v>46224</v>
      </c>
      <c r="E87" s="35" t="str">
        <f aca="false">MID("日月火水木金土",WEEKDAY(D87),1)</f>
        <v>火</v>
      </c>
      <c r="F87" s="33" t="s">
        <v>186</v>
      </c>
      <c r="G87" s="17" t="s">
        <v>145</v>
      </c>
      <c r="H87" s="17" t="s">
        <v>187</v>
      </c>
      <c r="I87" s="17"/>
      <c r="J87" s="35" t="s">
        <v>111</v>
      </c>
      <c r="K87" s="36" t="n">
        <v>75</v>
      </c>
      <c r="L87" s="17"/>
    </row>
    <row r="88" customFormat="false" ht="15" hidden="false" customHeight="false" outlineLevel="0" collapsed="false">
      <c r="A88" s="31" t="s">
        <v>178</v>
      </c>
      <c r="B88" s="32"/>
      <c r="C88" s="35" t="n">
        <v>9</v>
      </c>
      <c r="D88" s="34" t="n">
        <v>46225</v>
      </c>
      <c r="E88" s="35" t="str">
        <f aca="false">MID("日月火水木金土",WEEKDAY(D88),1)</f>
        <v>水</v>
      </c>
      <c r="F88" s="33" t="s">
        <v>110</v>
      </c>
      <c r="G88" s="17" t="s">
        <v>167</v>
      </c>
      <c r="H88" s="17" t="s">
        <v>188</v>
      </c>
      <c r="I88" s="17"/>
      <c r="J88" s="35" t="s">
        <v>111</v>
      </c>
      <c r="K88" s="36" t="n">
        <v>76</v>
      </c>
      <c r="L88" s="17"/>
    </row>
    <row r="89" customFormat="false" ht="15" hidden="false" customHeight="false" outlineLevel="0" collapsed="false">
      <c r="A89" s="31" t="s">
        <v>178</v>
      </c>
      <c r="B89" s="32"/>
      <c r="C89" s="35" t="n">
        <v>10</v>
      </c>
      <c r="D89" s="34" t="n">
        <v>46225</v>
      </c>
      <c r="E89" s="35" t="str">
        <f aca="false">MID("日月火水木金土",WEEKDAY(D89),1)</f>
        <v>水</v>
      </c>
      <c r="F89" s="33" t="s">
        <v>100</v>
      </c>
      <c r="G89" s="17" t="s">
        <v>169</v>
      </c>
      <c r="H89" s="17" t="s">
        <v>189</v>
      </c>
      <c r="I89" s="17"/>
      <c r="J89" s="35" t="s">
        <v>123</v>
      </c>
      <c r="K89" s="36" t="n">
        <v>76</v>
      </c>
      <c r="L89" s="17"/>
    </row>
    <row r="90" customFormat="false" ht="15" hidden="false" customHeight="false" outlineLevel="0" collapsed="false">
      <c r="A90" s="31" t="s">
        <v>178</v>
      </c>
      <c r="B90" s="32"/>
      <c r="C90" s="35" t="n">
        <v>11</v>
      </c>
      <c r="D90" s="34" t="n">
        <v>46225</v>
      </c>
      <c r="E90" s="35" t="str">
        <f aca="false">MID("日月火水木金土",WEEKDAY(D90),1)</f>
        <v>水</v>
      </c>
      <c r="F90" s="33" t="s">
        <v>190</v>
      </c>
      <c r="G90" s="17" t="s">
        <v>181</v>
      </c>
      <c r="H90" s="17" t="s">
        <v>185</v>
      </c>
      <c r="I90" s="17"/>
      <c r="J90" s="35" t="s">
        <v>111</v>
      </c>
      <c r="K90" s="36" t="n">
        <v>76</v>
      </c>
      <c r="L90" s="17"/>
    </row>
    <row r="91" customFormat="false" ht="15" hidden="false" customHeight="false" outlineLevel="0" collapsed="false">
      <c r="A91" s="31" t="s">
        <v>178</v>
      </c>
      <c r="B91" s="32"/>
      <c r="C91" s="35" t="n">
        <v>12</v>
      </c>
      <c r="D91" s="34" t="n">
        <v>46226</v>
      </c>
      <c r="E91" s="35" t="str">
        <f aca="false">MID("日月火水木金土",WEEKDAY(D91),1)</f>
        <v>木</v>
      </c>
      <c r="F91" s="33" t="s">
        <v>186</v>
      </c>
      <c r="G91" s="17" t="s">
        <v>145</v>
      </c>
      <c r="H91" s="17" t="s">
        <v>191</v>
      </c>
      <c r="I91" s="17" t="s">
        <v>147</v>
      </c>
      <c r="J91" s="35" t="s">
        <v>111</v>
      </c>
      <c r="K91" s="36" t="n">
        <v>77</v>
      </c>
      <c r="L91" s="17"/>
    </row>
    <row r="92" customFormat="false" ht="15" hidden="false" customHeight="false" outlineLevel="0" collapsed="false">
      <c r="A92" s="31" t="s">
        <v>178</v>
      </c>
      <c r="B92" s="32"/>
      <c r="C92" s="35" t="n">
        <v>13</v>
      </c>
      <c r="D92" s="34" t="n">
        <v>46226</v>
      </c>
      <c r="E92" s="35" t="str">
        <f aca="false">MID("日月火水木金土",WEEKDAY(D92),1)</f>
        <v>木</v>
      </c>
      <c r="F92" s="33" t="s">
        <v>190</v>
      </c>
      <c r="G92" s="17" t="s">
        <v>145</v>
      </c>
      <c r="H92" s="17" t="s">
        <v>192</v>
      </c>
      <c r="I92" s="17"/>
      <c r="J92" s="35" t="s">
        <v>111</v>
      </c>
      <c r="K92" s="36" t="n">
        <v>77</v>
      </c>
      <c r="L92" s="17"/>
    </row>
    <row r="93" customFormat="false" ht="15" hidden="false" customHeight="false" outlineLevel="0" collapsed="false">
      <c r="A93" s="31" t="s">
        <v>178</v>
      </c>
      <c r="B93" s="32"/>
      <c r="C93" s="35" t="n">
        <v>14</v>
      </c>
      <c r="D93" s="34" t="n">
        <v>46230</v>
      </c>
      <c r="E93" s="35" t="str">
        <f aca="false">MID("日月火水木金土",WEEKDAY(D93),1)</f>
        <v>月</v>
      </c>
      <c r="F93" s="33" t="s">
        <v>110</v>
      </c>
      <c r="G93" s="17" t="s">
        <v>145</v>
      </c>
      <c r="H93" s="17" t="s">
        <v>193</v>
      </c>
      <c r="I93" s="17"/>
      <c r="J93" s="35" t="s">
        <v>111</v>
      </c>
      <c r="K93" s="36" t="n">
        <v>79</v>
      </c>
      <c r="L93" s="17"/>
    </row>
    <row r="94" customFormat="false" ht="15" hidden="false" customHeight="false" outlineLevel="0" collapsed="false">
      <c r="A94" s="31" t="s">
        <v>178</v>
      </c>
      <c r="B94" s="32"/>
      <c r="C94" s="35" t="n">
        <v>15</v>
      </c>
      <c r="D94" s="34" t="n">
        <v>46230</v>
      </c>
      <c r="E94" s="35" t="str">
        <f aca="false">MID("日月火水木金土",WEEKDAY(D94),1)</f>
        <v>月</v>
      </c>
      <c r="F94" s="33" t="s">
        <v>100</v>
      </c>
      <c r="G94" s="17" t="s">
        <v>145</v>
      </c>
      <c r="H94" s="17" t="s">
        <v>193</v>
      </c>
      <c r="I94" s="17"/>
      <c r="J94" s="35" t="s">
        <v>111</v>
      </c>
      <c r="K94" s="36" t="n">
        <v>79</v>
      </c>
      <c r="L94" s="17"/>
    </row>
    <row r="95" customFormat="false" ht="15" hidden="false" customHeight="false" outlineLevel="0" collapsed="false">
      <c r="A95" s="31" t="s">
        <v>178</v>
      </c>
      <c r="B95" s="32"/>
      <c r="C95" s="35" t="n">
        <v>16</v>
      </c>
      <c r="D95" s="34" t="n">
        <v>46230</v>
      </c>
      <c r="E95" s="35" t="str">
        <f aca="false">MID("日月火水木金土",WEEKDAY(D95),1)</f>
        <v>月</v>
      </c>
      <c r="F95" s="33" t="s">
        <v>133</v>
      </c>
      <c r="G95" s="17" t="s">
        <v>145</v>
      </c>
      <c r="H95" s="17" t="s">
        <v>194</v>
      </c>
      <c r="I95" s="17"/>
      <c r="J95" s="35" t="s">
        <v>111</v>
      </c>
      <c r="K95" s="36" t="n">
        <v>79</v>
      </c>
      <c r="L95" s="17"/>
    </row>
    <row r="96" customFormat="false" ht="15" hidden="false" customHeight="false" outlineLevel="0" collapsed="false">
      <c r="A96" s="31" t="s">
        <v>178</v>
      </c>
      <c r="B96" s="32"/>
      <c r="C96" s="35" t="n">
        <v>17</v>
      </c>
      <c r="D96" s="34" t="n">
        <v>46231</v>
      </c>
      <c r="E96" s="35" t="str">
        <f aca="false">MID("日月火水木金土",WEEKDAY(D96),1)</f>
        <v>火</v>
      </c>
      <c r="F96" s="33" t="s">
        <v>110</v>
      </c>
      <c r="G96" s="17" t="s">
        <v>145</v>
      </c>
      <c r="H96" s="17" t="s">
        <v>195</v>
      </c>
      <c r="I96" s="17"/>
      <c r="J96" s="35" t="s">
        <v>111</v>
      </c>
      <c r="K96" s="36" t="n">
        <v>80</v>
      </c>
      <c r="L96" s="17"/>
    </row>
    <row r="97" customFormat="false" ht="15" hidden="false" customHeight="false" outlineLevel="0" collapsed="false">
      <c r="A97" s="31" t="s">
        <v>178</v>
      </c>
      <c r="B97" s="32"/>
      <c r="C97" s="35" t="n">
        <v>18</v>
      </c>
      <c r="D97" s="34" t="n">
        <v>46231</v>
      </c>
      <c r="E97" s="35" t="str">
        <f aca="false">MID("日月火水木金土",WEEKDAY(D97),1)</f>
        <v>火</v>
      </c>
      <c r="F97" s="33" t="s">
        <v>114</v>
      </c>
      <c r="G97" s="17" t="s">
        <v>169</v>
      </c>
      <c r="H97" s="17" t="s">
        <v>196</v>
      </c>
      <c r="I97" s="17" t="s">
        <v>171</v>
      </c>
      <c r="J97" s="35" t="s">
        <v>172</v>
      </c>
      <c r="K97" s="36" t="n">
        <v>80</v>
      </c>
      <c r="L97" s="17"/>
    </row>
    <row r="98" customFormat="false" ht="15" hidden="false" customHeight="false" outlineLevel="0" collapsed="false">
      <c r="A98" s="31" t="s">
        <v>178</v>
      </c>
      <c r="B98" s="32"/>
      <c r="C98" s="35" t="n">
        <v>19</v>
      </c>
      <c r="D98" s="34" t="n">
        <v>46231</v>
      </c>
      <c r="E98" s="35" t="str">
        <f aca="false">MID("日月火水木金土",WEEKDAY(D98),1)</f>
        <v>火</v>
      </c>
      <c r="F98" s="33" t="s">
        <v>197</v>
      </c>
      <c r="G98" s="17" t="s">
        <v>169</v>
      </c>
      <c r="H98" s="17" t="s">
        <v>198</v>
      </c>
      <c r="I98" s="17"/>
      <c r="J98" s="35" t="s">
        <v>172</v>
      </c>
      <c r="K98" s="36" t="n">
        <v>80</v>
      </c>
      <c r="L98" s="17"/>
    </row>
    <row r="99" customFormat="false" ht="15" hidden="false" customHeight="false" outlineLevel="0" collapsed="false">
      <c r="A99" s="31" t="s">
        <v>178</v>
      </c>
      <c r="B99" s="32"/>
      <c r="C99" s="35" t="n">
        <v>20</v>
      </c>
      <c r="D99" s="34" t="n">
        <v>46231</v>
      </c>
      <c r="E99" s="35" t="str">
        <f aca="false">MID("日月火水木金土",WEEKDAY(D99),1)</f>
        <v>火</v>
      </c>
      <c r="F99" s="33" t="s">
        <v>100</v>
      </c>
      <c r="G99" s="17" t="s">
        <v>169</v>
      </c>
      <c r="H99" s="17" t="s">
        <v>199</v>
      </c>
      <c r="I99" s="17"/>
      <c r="J99" s="35" t="s">
        <v>172</v>
      </c>
      <c r="K99" s="36" t="n">
        <v>80</v>
      </c>
      <c r="L99" s="17"/>
    </row>
    <row r="100" customFormat="false" ht="15" hidden="false" customHeight="false" outlineLevel="0" collapsed="false">
      <c r="A100" s="31" t="s">
        <v>178</v>
      </c>
      <c r="B100" s="32"/>
      <c r="C100" s="35" t="n">
        <v>21</v>
      </c>
      <c r="D100" s="34" t="n">
        <v>46231</v>
      </c>
      <c r="E100" s="35" t="str">
        <f aca="false">MID("日月火水木金土",WEEKDAY(D100),1)</f>
        <v>火</v>
      </c>
      <c r="F100" s="33" t="s">
        <v>133</v>
      </c>
      <c r="G100" s="17" t="s">
        <v>145</v>
      </c>
      <c r="H100" s="17" t="s">
        <v>195</v>
      </c>
      <c r="I100" s="17"/>
      <c r="J100" s="35" t="s">
        <v>111</v>
      </c>
      <c r="K100" s="36" t="n">
        <v>80</v>
      </c>
      <c r="L100" s="17"/>
    </row>
    <row r="101" customFormat="false" ht="15" hidden="false" customHeight="false" outlineLevel="0" collapsed="false">
      <c r="A101" s="31" t="s">
        <v>178</v>
      </c>
      <c r="B101" s="32"/>
      <c r="C101" s="35" t="n">
        <v>22</v>
      </c>
      <c r="D101" s="34" t="n">
        <v>46231</v>
      </c>
      <c r="E101" s="35" t="str">
        <f aca="false">MID("日月火水木金土",WEEKDAY(D101),1)</f>
        <v>火</v>
      </c>
      <c r="F101" s="33" t="s">
        <v>127</v>
      </c>
      <c r="G101" s="17" t="s">
        <v>174</v>
      </c>
      <c r="H101" s="17" t="s">
        <v>200</v>
      </c>
      <c r="I101" s="17" t="s">
        <v>176</v>
      </c>
      <c r="J101" s="35" t="s">
        <v>104</v>
      </c>
      <c r="K101" s="36" t="n">
        <v>80</v>
      </c>
      <c r="L101" s="17"/>
    </row>
    <row r="102" customFormat="false" ht="15" hidden="false" customHeight="false" outlineLevel="0" collapsed="false">
      <c r="A102" s="31" t="s">
        <v>178</v>
      </c>
      <c r="B102" s="32"/>
      <c r="C102" s="35" t="n">
        <v>23</v>
      </c>
      <c r="D102" s="34" t="n">
        <v>46232</v>
      </c>
      <c r="E102" s="35" t="str">
        <f aca="false">MID("日月火水木金土",WEEKDAY(D102),1)</f>
        <v>水</v>
      </c>
      <c r="F102" s="33" t="s">
        <v>110</v>
      </c>
      <c r="G102" s="17" t="s">
        <v>145</v>
      </c>
      <c r="H102" s="17" t="s">
        <v>201</v>
      </c>
      <c r="I102" s="17"/>
      <c r="J102" s="35" t="s">
        <v>111</v>
      </c>
      <c r="K102" s="36" t="n">
        <v>81</v>
      </c>
      <c r="L102" s="17"/>
    </row>
    <row r="103" customFormat="false" ht="15" hidden="false" customHeight="false" outlineLevel="0" collapsed="false">
      <c r="A103" s="31" t="s">
        <v>178</v>
      </c>
      <c r="B103" s="32"/>
      <c r="C103" s="35" t="n">
        <v>24</v>
      </c>
      <c r="D103" s="34" t="n">
        <v>46232</v>
      </c>
      <c r="E103" s="35" t="str">
        <f aca="false">MID("日月火水木金土",WEEKDAY(D103),1)</f>
        <v>水</v>
      </c>
      <c r="F103" s="33" t="s">
        <v>166</v>
      </c>
      <c r="G103" s="17" t="s">
        <v>145</v>
      </c>
      <c r="H103" s="17" t="s">
        <v>202</v>
      </c>
      <c r="I103" s="17"/>
      <c r="J103" s="35" t="s">
        <v>111</v>
      </c>
      <c r="K103" s="36" t="n">
        <v>81</v>
      </c>
      <c r="L103" s="17"/>
    </row>
    <row r="104" customFormat="false" ht="15" hidden="false" customHeight="false" outlineLevel="0" collapsed="false">
      <c r="A104" s="31" t="s">
        <v>178</v>
      </c>
      <c r="B104" s="32"/>
      <c r="C104" s="35" t="n">
        <v>25</v>
      </c>
      <c r="D104" s="34" t="n">
        <v>46232</v>
      </c>
      <c r="E104" s="35" t="str">
        <f aca="false">MID("日月火水木金土",WEEKDAY(D104),1)</f>
        <v>水</v>
      </c>
      <c r="F104" s="33" t="s">
        <v>186</v>
      </c>
      <c r="G104" s="19" t="s">
        <v>40</v>
      </c>
      <c r="H104" s="17" t="s">
        <v>203</v>
      </c>
      <c r="I104" s="17"/>
      <c r="J104" s="35" t="s">
        <v>111</v>
      </c>
      <c r="K104" s="36" t="n">
        <v>81</v>
      </c>
      <c r="L104" s="17"/>
    </row>
    <row r="105" customFormat="false" ht="15" hidden="false" customHeight="false" outlineLevel="0" collapsed="false">
      <c r="A105" s="31" t="s">
        <v>178</v>
      </c>
      <c r="B105" s="32"/>
      <c r="C105" s="35" t="n">
        <v>26</v>
      </c>
      <c r="D105" s="34" t="n">
        <v>46234</v>
      </c>
      <c r="E105" s="35" t="str">
        <f aca="false">MID("日月火水木金土",WEEKDAY(D105),1)</f>
        <v>金</v>
      </c>
      <c r="F105" s="33" t="s">
        <v>190</v>
      </c>
      <c r="G105" s="17" t="s">
        <v>145</v>
      </c>
      <c r="H105" s="17" t="s">
        <v>204</v>
      </c>
      <c r="I105" s="17"/>
      <c r="J105" s="35" t="s">
        <v>111</v>
      </c>
      <c r="K105" s="36" t="n">
        <v>83</v>
      </c>
      <c r="L105" s="17"/>
    </row>
    <row r="106" customFormat="false" ht="30" hidden="false" customHeight="true" outlineLevel="0" collapsed="false">
      <c r="A106" s="21" t="s">
        <v>205</v>
      </c>
      <c r="B106" s="24" t="str">
        <f aca="false">INDEX(条文マスタ!$C$5:$C$24,MATCH($A106,条文マスタ!$A$5:$A$24,0))</f>
        <v>対外接渉に関する資料</v>
      </c>
      <c r="C106" s="24"/>
      <c r="D106" s="24"/>
      <c r="E106" s="24"/>
      <c r="F106" s="24"/>
      <c r="G106" s="25" t="str">
        <f aca="false">INDEX(条文マスタ!$D$5:$D$24,MATCH($A106,条文マスタ!$A$5:$A$24,0))</f>
        <v>監督職員と協議の上、地元若しくは関係機関等との接渉に必要な測量、調査又は資料の作成を行う。</v>
      </c>
      <c r="H106" s="25"/>
      <c r="I106" s="26" t="str">
        <f aca="false">COUNT($C$107:$C$107)&amp;"件"</f>
        <v>0件</v>
      </c>
      <c r="J106" s="21" t="s">
        <v>35</v>
      </c>
      <c r="K106" s="21" t="str">
        <f aca="false">IF(COUNT($C$107:$C$107)=0,0,SUMPRODUCT(($C$107:$C$107&lt;&gt;"")/COUNTIFS($D$107:$D$107,$D$107:$D$107&amp;"")))&amp;"日"</f>
        <v>0日</v>
      </c>
      <c r="L106" s="27"/>
    </row>
    <row r="107" customFormat="false" ht="15" hidden="false" customHeight="false" outlineLevel="0" collapsed="false">
      <c r="A107" s="28" t="s">
        <v>206</v>
      </c>
      <c r="B107" s="29"/>
      <c r="C107" s="29"/>
      <c r="D107" s="29"/>
      <c r="E107" s="29"/>
      <c r="F107" s="29"/>
      <c r="G107" s="29"/>
      <c r="H107" s="30" t="s">
        <v>95</v>
      </c>
      <c r="I107" s="30"/>
      <c r="J107" s="30"/>
      <c r="K107" s="30"/>
      <c r="L107" s="30"/>
    </row>
    <row r="108" customFormat="false" ht="30" hidden="false" customHeight="true" outlineLevel="0" collapsed="false">
      <c r="A108" s="21" t="s">
        <v>207</v>
      </c>
      <c r="B108" s="24" t="str">
        <f aca="false">INDEX(条文マスタ!$C$5:$C$24,MATCH($A108,条文マスタ!$A$5:$A$24,0))</f>
        <v>書面での報告</v>
      </c>
      <c r="C108" s="24"/>
      <c r="D108" s="24"/>
      <c r="E108" s="24"/>
      <c r="F108" s="24"/>
      <c r="G108" s="25" t="str">
        <f aca="false">INDEX(条文マスタ!$D$5:$D$24,MATCH($A108,条文マスタ!$A$5:$A$24,0))</f>
        <v>第2章の各条にいう書面での監督職員に対する報告は、業務処理結果報告書による。</v>
      </c>
      <c r="H108" s="25"/>
      <c r="I108" s="26" t="str">
        <f aca="false">COUNT($C$109:$C$109)&amp;"件"</f>
        <v>0件</v>
      </c>
      <c r="J108" s="21" t="s">
        <v>35</v>
      </c>
      <c r="K108" s="21" t="str">
        <f aca="false">IF(COUNT($C$109:$C$109)=0,0,SUMPRODUCT(($C$109:$C$109&lt;&gt;"")/COUNTIFS($D$109:$D$109,$D$109:$D$109&amp;"")))&amp;"日"</f>
        <v>0日</v>
      </c>
      <c r="L108" s="27"/>
    </row>
    <row r="109" customFormat="false" ht="15" hidden="false" customHeight="false" outlineLevel="0" collapsed="false">
      <c r="A109" s="28" t="s">
        <v>208</v>
      </c>
      <c r="B109" s="29"/>
      <c r="C109" s="29"/>
      <c r="D109" s="29"/>
      <c r="E109" s="29"/>
      <c r="F109" s="29"/>
      <c r="G109" s="29"/>
      <c r="H109" s="30" t="s">
        <v>95</v>
      </c>
      <c r="I109" s="30"/>
      <c r="J109" s="30"/>
      <c r="K109" s="30"/>
      <c r="L109" s="30"/>
    </row>
    <row r="110" customFormat="false" ht="30" hidden="false" customHeight="true" outlineLevel="0" collapsed="false">
      <c r="A110" s="21" t="s">
        <v>209</v>
      </c>
      <c r="B110" s="24" t="str">
        <f aca="false">INDEX(条文マスタ!$C$5:$C$24,MATCH($A110,条文マスタ!$A$5:$A$24,0))</f>
        <v>設計に必要な調査</v>
      </c>
      <c r="C110" s="24"/>
      <c r="D110" s="24"/>
      <c r="E110" s="24"/>
      <c r="F110" s="24"/>
      <c r="G110" s="25" t="str">
        <f aca="false">INDEX(条文マスタ!$D$5:$D$24,MATCH($A110,条文マスタ!$A$5:$A$24,0))</f>
        <v>設計に必要な現場条件等の調査を、事前に監督職員と協議の上行い、調査結果は書面で提出する。</v>
      </c>
      <c r="H110" s="25"/>
      <c r="I110" s="26" t="str">
        <f aca="false">COUNT($C$111:$C$125)&amp;"件"</f>
        <v>15件</v>
      </c>
      <c r="J110" s="21" t="s">
        <v>35</v>
      </c>
      <c r="K110" s="21" t="str">
        <f aca="false">IF(COUNT($C$111:$C$125)=0,0,SUMPRODUCT(($C$111:$C$125&lt;&gt;"")/COUNTIFS($D$111:$D$125,$D$111:$D$125&amp;"")))&amp;"日"</f>
        <v>8日</v>
      </c>
      <c r="L110" s="27"/>
    </row>
    <row r="111" customFormat="false" ht="15" hidden="false" customHeight="false" outlineLevel="0" collapsed="false">
      <c r="A111" s="31" t="s">
        <v>210</v>
      </c>
      <c r="B111" s="32"/>
      <c r="C111" s="35" t="n">
        <v>1</v>
      </c>
      <c r="D111" s="34" t="n">
        <v>46206</v>
      </c>
      <c r="E111" s="35" t="str">
        <f aca="false">MID("日月火水木金土",WEEKDAY(D111),1)</f>
        <v>金</v>
      </c>
      <c r="F111" s="33" t="s">
        <v>114</v>
      </c>
      <c r="G111" s="17" t="s">
        <v>211</v>
      </c>
      <c r="H111" s="17" t="s">
        <v>212</v>
      </c>
      <c r="I111" s="17"/>
      <c r="J111" s="35" t="s">
        <v>111</v>
      </c>
      <c r="K111" s="36" t="n">
        <v>64</v>
      </c>
      <c r="L111" s="17"/>
    </row>
    <row r="112" customFormat="false" ht="15" hidden="false" customHeight="false" outlineLevel="0" collapsed="false">
      <c r="A112" s="31" t="s">
        <v>210</v>
      </c>
      <c r="B112" s="32"/>
      <c r="C112" s="35" t="n">
        <v>2</v>
      </c>
      <c r="D112" s="34" t="n">
        <v>46206</v>
      </c>
      <c r="E112" s="35" t="str">
        <f aca="false">MID("日月火水木金土",WEEKDAY(D112),1)</f>
        <v>金</v>
      </c>
      <c r="F112" s="33" t="s">
        <v>137</v>
      </c>
      <c r="G112" s="17" t="s">
        <v>213</v>
      </c>
      <c r="H112" s="17" t="s">
        <v>214</v>
      </c>
      <c r="I112" s="17"/>
      <c r="J112" s="35" t="s">
        <v>215</v>
      </c>
      <c r="K112" s="36" t="n">
        <v>64</v>
      </c>
      <c r="L112" s="17"/>
    </row>
    <row r="113" customFormat="false" ht="15" hidden="false" customHeight="false" outlineLevel="0" collapsed="false">
      <c r="A113" s="31" t="s">
        <v>210</v>
      </c>
      <c r="B113" s="32"/>
      <c r="C113" s="35" t="n">
        <v>3</v>
      </c>
      <c r="D113" s="34" t="n">
        <v>46206</v>
      </c>
      <c r="E113" s="35" t="str">
        <f aca="false">MID("日月火水木金土",WEEKDAY(D113),1)</f>
        <v>金</v>
      </c>
      <c r="F113" s="33" t="s">
        <v>166</v>
      </c>
      <c r="G113" s="17" t="s">
        <v>213</v>
      </c>
      <c r="H113" s="17" t="s">
        <v>216</v>
      </c>
      <c r="I113" s="17"/>
      <c r="J113" s="35" t="s">
        <v>215</v>
      </c>
      <c r="K113" s="36" t="n">
        <v>64</v>
      </c>
      <c r="L113" s="17"/>
    </row>
    <row r="114" customFormat="false" ht="15" hidden="false" customHeight="false" outlineLevel="0" collapsed="false">
      <c r="A114" s="31" t="s">
        <v>210</v>
      </c>
      <c r="B114" s="32"/>
      <c r="C114" s="35" t="n">
        <v>4</v>
      </c>
      <c r="D114" s="34" t="n">
        <v>46209</v>
      </c>
      <c r="E114" s="35" t="str">
        <f aca="false">MID("日月火水木金土",WEEKDAY(D114),1)</f>
        <v>月</v>
      </c>
      <c r="F114" s="33" t="s">
        <v>166</v>
      </c>
      <c r="G114" s="17" t="s">
        <v>211</v>
      </c>
      <c r="H114" s="17" t="s">
        <v>217</v>
      </c>
      <c r="I114" s="17"/>
      <c r="J114" s="35" t="s">
        <v>111</v>
      </c>
      <c r="K114" s="36" t="n">
        <v>65</v>
      </c>
      <c r="L114" s="17"/>
    </row>
    <row r="115" customFormat="false" ht="15" hidden="false" customHeight="false" outlineLevel="0" collapsed="false">
      <c r="A115" s="31" t="s">
        <v>210</v>
      </c>
      <c r="B115" s="32"/>
      <c r="C115" s="35" t="n">
        <v>5</v>
      </c>
      <c r="D115" s="34" t="n">
        <v>46209</v>
      </c>
      <c r="E115" s="35" t="str">
        <f aca="false">MID("日月火水木金土",WEEKDAY(D115),1)</f>
        <v>月</v>
      </c>
      <c r="F115" s="33" t="s">
        <v>190</v>
      </c>
      <c r="G115" s="17" t="s">
        <v>211</v>
      </c>
      <c r="H115" s="17" t="s">
        <v>218</v>
      </c>
      <c r="I115" s="17"/>
      <c r="J115" s="35" t="s">
        <v>111</v>
      </c>
      <c r="K115" s="36" t="n">
        <v>65</v>
      </c>
      <c r="L115" s="17"/>
    </row>
    <row r="116" customFormat="false" ht="15" hidden="false" customHeight="false" outlineLevel="0" collapsed="false">
      <c r="A116" s="31" t="s">
        <v>210</v>
      </c>
      <c r="B116" s="32"/>
      <c r="C116" s="35" t="n">
        <v>6</v>
      </c>
      <c r="D116" s="34" t="n">
        <v>46212</v>
      </c>
      <c r="E116" s="35" t="str">
        <f aca="false">MID("日月火水木金土",WEEKDAY(D116),1)</f>
        <v>木</v>
      </c>
      <c r="F116" s="33" t="s">
        <v>110</v>
      </c>
      <c r="G116" s="17" t="s">
        <v>213</v>
      </c>
      <c r="H116" s="17" t="s">
        <v>219</v>
      </c>
      <c r="I116" s="17"/>
      <c r="J116" s="35" t="s">
        <v>220</v>
      </c>
      <c r="K116" s="36" t="n">
        <v>68</v>
      </c>
      <c r="L116" s="17"/>
    </row>
    <row r="117" customFormat="false" ht="15" hidden="false" customHeight="false" outlineLevel="0" collapsed="false">
      <c r="A117" s="31" t="s">
        <v>210</v>
      </c>
      <c r="B117" s="32"/>
      <c r="C117" s="35" t="n">
        <v>7</v>
      </c>
      <c r="D117" s="34" t="n">
        <v>46213</v>
      </c>
      <c r="E117" s="35" t="str">
        <f aca="false">MID("日月火水木金土",WEEKDAY(D117),1)</f>
        <v>金</v>
      </c>
      <c r="F117" s="33" t="s">
        <v>137</v>
      </c>
      <c r="G117" s="17" t="s">
        <v>213</v>
      </c>
      <c r="H117" s="17" t="s">
        <v>216</v>
      </c>
      <c r="I117" s="17"/>
      <c r="J117" s="35" t="s">
        <v>215</v>
      </c>
      <c r="K117" s="36" t="n">
        <v>69</v>
      </c>
      <c r="L117" s="17"/>
    </row>
    <row r="118" customFormat="false" ht="15" hidden="false" customHeight="false" outlineLevel="0" collapsed="false">
      <c r="A118" s="31" t="s">
        <v>210</v>
      </c>
      <c r="B118" s="32"/>
      <c r="C118" s="35" t="n">
        <v>8</v>
      </c>
      <c r="D118" s="34" t="n">
        <v>46219</v>
      </c>
      <c r="E118" s="35" t="str">
        <f aca="false">MID("日月火水木金土",WEEKDAY(D118),1)</f>
        <v>木</v>
      </c>
      <c r="F118" s="33" t="s">
        <v>197</v>
      </c>
      <c r="G118" s="17" t="s">
        <v>211</v>
      </c>
      <c r="H118" s="17" t="s">
        <v>217</v>
      </c>
      <c r="I118" s="17"/>
      <c r="J118" s="35" t="s">
        <v>111</v>
      </c>
      <c r="K118" s="36" t="n">
        <v>73</v>
      </c>
      <c r="L118" s="17"/>
    </row>
    <row r="119" customFormat="false" ht="15" hidden="false" customHeight="false" outlineLevel="0" collapsed="false">
      <c r="A119" s="31" t="s">
        <v>210</v>
      </c>
      <c r="B119" s="32"/>
      <c r="C119" s="35" t="n">
        <v>9</v>
      </c>
      <c r="D119" s="34" t="n">
        <v>46227</v>
      </c>
      <c r="E119" s="35" t="str">
        <f aca="false">MID("日月火水木金土",WEEKDAY(D119),1)</f>
        <v>金</v>
      </c>
      <c r="F119" s="33" t="s">
        <v>137</v>
      </c>
      <c r="G119" s="17" t="s">
        <v>211</v>
      </c>
      <c r="H119" s="17" t="s">
        <v>217</v>
      </c>
      <c r="I119" s="17"/>
      <c r="J119" s="35" t="s">
        <v>111</v>
      </c>
      <c r="K119" s="36" t="n">
        <v>78</v>
      </c>
      <c r="L119" s="17"/>
    </row>
    <row r="120" customFormat="false" ht="15" hidden="false" customHeight="false" outlineLevel="0" collapsed="false">
      <c r="A120" s="31" t="s">
        <v>210</v>
      </c>
      <c r="B120" s="32"/>
      <c r="C120" s="35" t="n">
        <v>10</v>
      </c>
      <c r="D120" s="34" t="n">
        <v>46227</v>
      </c>
      <c r="E120" s="35" t="str">
        <f aca="false">MID("日月火水木金土",WEEKDAY(D120),1)</f>
        <v>金</v>
      </c>
      <c r="F120" s="33" t="s">
        <v>100</v>
      </c>
      <c r="G120" s="17" t="s">
        <v>211</v>
      </c>
      <c r="H120" s="17" t="s">
        <v>221</v>
      </c>
      <c r="I120" s="17"/>
      <c r="J120" s="35" t="s">
        <v>111</v>
      </c>
      <c r="K120" s="36" t="n">
        <v>78</v>
      </c>
      <c r="L120" s="17"/>
    </row>
    <row r="121" customFormat="false" ht="15" hidden="false" customHeight="false" outlineLevel="0" collapsed="false">
      <c r="A121" s="31" t="s">
        <v>210</v>
      </c>
      <c r="B121" s="32"/>
      <c r="C121" s="35" t="n">
        <v>11</v>
      </c>
      <c r="D121" s="34" t="n">
        <v>46227</v>
      </c>
      <c r="E121" s="35" t="str">
        <f aca="false">MID("日月火水木金土",WEEKDAY(D121),1)</f>
        <v>金</v>
      </c>
      <c r="F121" s="33" t="s">
        <v>133</v>
      </c>
      <c r="G121" s="17" t="s">
        <v>211</v>
      </c>
      <c r="H121" s="17" t="s">
        <v>222</v>
      </c>
      <c r="I121" s="17"/>
      <c r="J121" s="35" t="s">
        <v>111</v>
      </c>
      <c r="K121" s="36" t="n">
        <v>78</v>
      </c>
      <c r="L121" s="17"/>
    </row>
    <row r="122" customFormat="false" ht="15" hidden="false" customHeight="false" outlineLevel="0" collapsed="false">
      <c r="A122" s="31" t="s">
        <v>210</v>
      </c>
      <c r="B122" s="32"/>
      <c r="C122" s="35" t="n">
        <v>12</v>
      </c>
      <c r="D122" s="34" t="n">
        <v>46227</v>
      </c>
      <c r="E122" s="35" t="str">
        <f aca="false">MID("日月火水木金土",WEEKDAY(D122),1)</f>
        <v>金</v>
      </c>
      <c r="F122" s="33" t="s">
        <v>186</v>
      </c>
      <c r="G122" s="17" t="s">
        <v>211</v>
      </c>
      <c r="H122" s="17" t="s">
        <v>212</v>
      </c>
      <c r="I122" s="17"/>
      <c r="J122" s="35" t="s">
        <v>111</v>
      </c>
      <c r="K122" s="36" t="n">
        <v>78</v>
      </c>
      <c r="L122" s="17"/>
    </row>
    <row r="123" customFormat="false" ht="15" hidden="false" customHeight="false" outlineLevel="0" collapsed="false">
      <c r="A123" s="31" t="s">
        <v>210</v>
      </c>
      <c r="B123" s="32"/>
      <c r="C123" s="35" t="n">
        <v>13</v>
      </c>
      <c r="D123" s="34" t="n">
        <v>46233</v>
      </c>
      <c r="E123" s="35" t="str">
        <f aca="false">MID("日月火水木金土",WEEKDAY(D123),1)</f>
        <v>木</v>
      </c>
      <c r="F123" s="33" t="s">
        <v>190</v>
      </c>
      <c r="G123" s="17" t="s">
        <v>211</v>
      </c>
      <c r="H123" s="17" t="s">
        <v>223</v>
      </c>
      <c r="I123" s="17"/>
      <c r="J123" s="35" t="s">
        <v>111</v>
      </c>
      <c r="K123" s="36" t="n">
        <v>82</v>
      </c>
      <c r="L123" s="17"/>
    </row>
    <row r="124" customFormat="false" ht="15" hidden="false" customHeight="false" outlineLevel="0" collapsed="false">
      <c r="A124" s="31" t="s">
        <v>210</v>
      </c>
      <c r="B124" s="32"/>
      <c r="C124" s="35" t="n">
        <v>14</v>
      </c>
      <c r="D124" s="34" t="n">
        <v>46234</v>
      </c>
      <c r="E124" s="35" t="str">
        <f aca="false">MID("日月火水木金土",WEEKDAY(D124),1)</f>
        <v>金</v>
      </c>
      <c r="F124" s="33" t="s">
        <v>100</v>
      </c>
      <c r="G124" s="17" t="s">
        <v>211</v>
      </c>
      <c r="H124" s="17" t="s">
        <v>217</v>
      </c>
      <c r="I124" s="17"/>
      <c r="J124" s="35" t="s">
        <v>111</v>
      </c>
      <c r="K124" s="36" t="n">
        <v>83</v>
      </c>
      <c r="L124" s="17"/>
    </row>
    <row r="125" customFormat="false" ht="15" hidden="false" customHeight="false" outlineLevel="0" collapsed="false">
      <c r="A125" s="31" t="s">
        <v>210</v>
      </c>
      <c r="B125" s="32"/>
      <c r="C125" s="35" t="n">
        <v>15</v>
      </c>
      <c r="D125" s="34" t="n">
        <v>46234</v>
      </c>
      <c r="E125" s="35" t="str">
        <f aca="false">MID("日月火水木金土",WEEKDAY(D125),1)</f>
        <v>金</v>
      </c>
      <c r="F125" s="33" t="s">
        <v>186</v>
      </c>
      <c r="G125" s="17" t="s">
        <v>211</v>
      </c>
      <c r="H125" s="17" t="s">
        <v>224</v>
      </c>
      <c r="I125" s="17"/>
      <c r="J125" s="35" t="s">
        <v>111</v>
      </c>
      <c r="K125" s="36" t="n">
        <v>83</v>
      </c>
      <c r="L125" s="17"/>
    </row>
    <row r="126" customFormat="false" ht="30" hidden="false" customHeight="true" outlineLevel="0" collapsed="false">
      <c r="A126" s="21" t="s">
        <v>225</v>
      </c>
      <c r="B126" s="24" t="str">
        <f aca="false">INDEX(条文マスタ!$C$5:$C$24,MATCH($A126,条文マスタ!$A$5:$A$24,0))</f>
        <v>設計に必要な資料</v>
      </c>
      <c r="C126" s="24"/>
      <c r="D126" s="24"/>
      <c r="E126" s="24"/>
      <c r="F126" s="24"/>
      <c r="G126" s="25" t="str">
        <f aca="false">INDEX(条文マスタ!$D$5:$D$24,MATCH($A126,条文マスタ!$A$5:$A$24,0))</f>
        <v>設計に必要な図面、数量取りまとめ、各種データの作成等を、事前に監督職員と協議の上行い、結果を書面で提出する。</v>
      </c>
      <c r="H126" s="25"/>
      <c r="I126" s="26" t="str">
        <f aca="false">COUNT($C$127:$C$135)&amp;"件"</f>
        <v>9件</v>
      </c>
      <c r="J126" s="21" t="s">
        <v>35</v>
      </c>
      <c r="K126" s="21" t="str">
        <f aca="false">IF(COUNT($C$127:$C$135)=0,0,SUMPRODUCT(($C$127:$C$135&lt;&gt;"")/COUNTIFS($D$127:$D$135,$D$127:$D$135&amp;"")))&amp;"日"</f>
        <v>5日</v>
      </c>
      <c r="L126" s="27"/>
    </row>
    <row r="127" customFormat="false" ht="15" hidden="false" customHeight="false" outlineLevel="0" collapsed="false">
      <c r="A127" s="31" t="s">
        <v>226</v>
      </c>
      <c r="B127" s="32"/>
      <c r="C127" s="35" t="n">
        <v>1</v>
      </c>
      <c r="D127" s="34" t="n">
        <v>46211</v>
      </c>
      <c r="E127" s="35" t="str">
        <f aca="false">MID("日月火水木金土",WEEKDAY(D127),1)</f>
        <v>水</v>
      </c>
      <c r="F127" s="33" t="s">
        <v>100</v>
      </c>
      <c r="G127" s="17" t="s">
        <v>227</v>
      </c>
      <c r="H127" s="17" t="s">
        <v>228</v>
      </c>
      <c r="I127" s="17"/>
      <c r="J127" s="35" t="s">
        <v>123</v>
      </c>
      <c r="K127" s="36" t="n">
        <v>67</v>
      </c>
      <c r="L127" s="17"/>
    </row>
    <row r="128" customFormat="false" ht="15" hidden="false" customHeight="false" outlineLevel="0" collapsed="false">
      <c r="A128" s="31" t="s">
        <v>226</v>
      </c>
      <c r="B128" s="32"/>
      <c r="C128" s="35" t="n">
        <v>2</v>
      </c>
      <c r="D128" s="34" t="n">
        <v>46213</v>
      </c>
      <c r="E128" s="35" t="str">
        <f aca="false">MID("日月火水木金土",WEEKDAY(D128),1)</f>
        <v>金</v>
      </c>
      <c r="F128" s="33" t="s">
        <v>110</v>
      </c>
      <c r="G128" s="17" t="s">
        <v>227</v>
      </c>
      <c r="H128" s="17" t="s">
        <v>229</v>
      </c>
      <c r="I128" s="17"/>
      <c r="J128" s="35" t="s">
        <v>123</v>
      </c>
      <c r="K128" s="36" t="n">
        <v>69</v>
      </c>
      <c r="L128" s="17"/>
    </row>
    <row r="129" customFormat="false" ht="15" hidden="false" customHeight="false" outlineLevel="0" collapsed="false">
      <c r="A129" s="31" t="s">
        <v>226</v>
      </c>
      <c r="B129" s="32"/>
      <c r="C129" s="35" t="n">
        <v>3</v>
      </c>
      <c r="D129" s="34" t="n">
        <v>46213</v>
      </c>
      <c r="E129" s="35" t="str">
        <f aca="false">MID("日月火水木金土",WEEKDAY(D129),1)</f>
        <v>金</v>
      </c>
      <c r="F129" s="33" t="s">
        <v>133</v>
      </c>
      <c r="G129" s="17" t="s">
        <v>227</v>
      </c>
      <c r="H129" s="17" t="s">
        <v>230</v>
      </c>
      <c r="I129" s="17"/>
      <c r="J129" s="35" t="s">
        <v>123</v>
      </c>
      <c r="K129" s="36" t="n">
        <v>69</v>
      </c>
      <c r="L129" s="17"/>
    </row>
    <row r="130" customFormat="false" ht="15" hidden="false" customHeight="false" outlineLevel="0" collapsed="false">
      <c r="A130" s="31" t="s">
        <v>226</v>
      </c>
      <c r="B130" s="32"/>
      <c r="C130" s="35" t="n">
        <v>4</v>
      </c>
      <c r="D130" s="34" t="n">
        <v>46216</v>
      </c>
      <c r="E130" s="35" t="str">
        <f aca="false">MID("日月火水木金土",WEEKDAY(D130),1)</f>
        <v>月</v>
      </c>
      <c r="F130" s="33" t="s">
        <v>110</v>
      </c>
      <c r="G130" s="17" t="s">
        <v>227</v>
      </c>
      <c r="H130" s="17" t="s">
        <v>231</v>
      </c>
      <c r="I130" s="17"/>
      <c r="J130" s="35" t="s">
        <v>123</v>
      </c>
      <c r="K130" s="36" t="n">
        <v>70</v>
      </c>
      <c r="L130" s="17"/>
    </row>
    <row r="131" customFormat="false" ht="15" hidden="false" customHeight="false" outlineLevel="0" collapsed="false">
      <c r="A131" s="31" t="s">
        <v>226</v>
      </c>
      <c r="B131" s="32"/>
      <c r="C131" s="35" t="n">
        <v>5</v>
      </c>
      <c r="D131" s="34" t="n">
        <v>46216</v>
      </c>
      <c r="E131" s="35" t="str">
        <f aca="false">MID("日月火水木金土",WEEKDAY(D131),1)</f>
        <v>月</v>
      </c>
      <c r="F131" s="33" t="s">
        <v>100</v>
      </c>
      <c r="G131" s="17" t="s">
        <v>227</v>
      </c>
      <c r="H131" s="17" t="s">
        <v>232</v>
      </c>
      <c r="I131" s="17"/>
      <c r="J131" s="35" t="s">
        <v>123</v>
      </c>
      <c r="K131" s="36" t="n">
        <v>70</v>
      </c>
      <c r="L131" s="17"/>
    </row>
    <row r="132" customFormat="false" ht="15" hidden="false" customHeight="false" outlineLevel="0" collapsed="false">
      <c r="A132" s="31" t="s">
        <v>226</v>
      </c>
      <c r="B132" s="32"/>
      <c r="C132" s="35" t="n">
        <v>6</v>
      </c>
      <c r="D132" s="34" t="n">
        <v>46217</v>
      </c>
      <c r="E132" s="35" t="str">
        <f aca="false">MID("日月火水木金土",WEEKDAY(D132),1)</f>
        <v>火</v>
      </c>
      <c r="F132" s="33" t="s">
        <v>110</v>
      </c>
      <c r="G132" s="17" t="s">
        <v>227</v>
      </c>
      <c r="H132" s="17" t="s">
        <v>233</v>
      </c>
      <c r="I132" s="17"/>
      <c r="J132" s="35" t="s">
        <v>123</v>
      </c>
      <c r="K132" s="36" t="n">
        <v>71</v>
      </c>
      <c r="L132" s="17"/>
    </row>
    <row r="133" customFormat="false" ht="15" hidden="false" customHeight="false" outlineLevel="0" collapsed="false">
      <c r="A133" s="31" t="s">
        <v>226</v>
      </c>
      <c r="B133" s="32"/>
      <c r="C133" s="35" t="n">
        <v>7</v>
      </c>
      <c r="D133" s="34" t="n">
        <v>46217</v>
      </c>
      <c r="E133" s="35" t="str">
        <f aca="false">MID("日月火水木金土",WEEKDAY(D133),1)</f>
        <v>火</v>
      </c>
      <c r="F133" s="33" t="s">
        <v>100</v>
      </c>
      <c r="G133" s="17" t="s">
        <v>227</v>
      </c>
      <c r="H133" s="17" t="s">
        <v>233</v>
      </c>
      <c r="I133" s="17"/>
      <c r="J133" s="35" t="s">
        <v>123</v>
      </c>
      <c r="K133" s="36" t="n">
        <v>71</v>
      </c>
      <c r="L133" s="17"/>
    </row>
    <row r="134" customFormat="false" ht="15" hidden="false" customHeight="false" outlineLevel="0" collapsed="false">
      <c r="A134" s="31" t="s">
        <v>226</v>
      </c>
      <c r="B134" s="32"/>
      <c r="C134" s="35" t="n">
        <v>8</v>
      </c>
      <c r="D134" s="34" t="n">
        <v>46218</v>
      </c>
      <c r="E134" s="35" t="str">
        <f aca="false">MID("日月火水木金土",WEEKDAY(D134),1)</f>
        <v>水</v>
      </c>
      <c r="F134" s="33" t="s">
        <v>110</v>
      </c>
      <c r="G134" s="17" t="s">
        <v>227</v>
      </c>
      <c r="H134" s="17" t="s">
        <v>234</v>
      </c>
      <c r="I134" s="17"/>
      <c r="J134" s="35" t="s">
        <v>123</v>
      </c>
      <c r="K134" s="36" t="n">
        <v>72</v>
      </c>
      <c r="L134" s="17"/>
    </row>
    <row r="135" customFormat="false" ht="15" hidden="false" customHeight="false" outlineLevel="0" collapsed="false">
      <c r="A135" s="31" t="s">
        <v>226</v>
      </c>
      <c r="B135" s="32"/>
      <c r="C135" s="35" t="n">
        <v>9</v>
      </c>
      <c r="D135" s="34" t="n">
        <v>46218</v>
      </c>
      <c r="E135" s="35" t="str">
        <f aca="false">MID("日月火水木金土",WEEKDAY(D135),1)</f>
        <v>水</v>
      </c>
      <c r="F135" s="33" t="s">
        <v>114</v>
      </c>
      <c r="G135" s="17" t="s">
        <v>227</v>
      </c>
      <c r="H135" s="17" t="s">
        <v>235</v>
      </c>
      <c r="I135" s="17"/>
      <c r="J135" s="35" t="s">
        <v>123</v>
      </c>
      <c r="K135" s="36" t="n">
        <v>72</v>
      </c>
      <c r="L135" s="17"/>
    </row>
    <row r="137" customFormat="false" ht="15" hidden="false" customHeight="false" outlineLevel="0" collapsed="false">
      <c r="A137" s="23" t="s">
        <v>236</v>
      </c>
    </row>
    <row r="138" customFormat="false" ht="15" hidden="false" customHeight="false" outlineLevel="0" collapsed="false">
      <c r="A138" s="23" t="s">
        <v>237</v>
      </c>
    </row>
    <row r="139" customFormat="false" ht="15" hidden="false" customHeight="false" outlineLevel="0" collapsed="false">
      <c r="A139" s="37" t="s">
        <v>238</v>
      </c>
    </row>
  </sheetData>
  <mergeCells count="49">
    <mergeCell ref="A1:L1"/>
    <mergeCell ref="A3:B3"/>
    <mergeCell ref="C3:L3"/>
    <mergeCell ref="A4:B4"/>
    <mergeCell ref="C4:L4"/>
    <mergeCell ref="A5:B5"/>
    <mergeCell ref="C5:L5"/>
    <mergeCell ref="A6:B6"/>
    <mergeCell ref="C6:L6"/>
    <mergeCell ref="B9:F9"/>
    <mergeCell ref="G9:H9"/>
    <mergeCell ref="B11:F11"/>
    <mergeCell ref="G11:H11"/>
    <mergeCell ref="B13:F13"/>
    <mergeCell ref="G13:H13"/>
    <mergeCell ref="B15:F15"/>
    <mergeCell ref="G15:H15"/>
    <mergeCell ref="B23:F23"/>
    <mergeCell ref="G23:H23"/>
    <mergeCell ref="B25:F25"/>
    <mergeCell ref="G25:H25"/>
    <mergeCell ref="B48:F48"/>
    <mergeCell ref="G48:H48"/>
    <mergeCell ref="B50:F50"/>
    <mergeCell ref="G50:H50"/>
    <mergeCell ref="B53:F53"/>
    <mergeCell ref="G53:H53"/>
    <mergeCell ref="B62:F62"/>
    <mergeCell ref="G62:H62"/>
    <mergeCell ref="B64:F64"/>
    <mergeCell ref="G64:H64"/>
    <mergeCell ref="B66:F66"/>
    <mergeCell ref="G66:H66"/>
    <mergeCell ref="B70:F70"/>
    <mergeCell ref="G70:H70"/>
    <mergeCell ref="B72:F72"/>
    <mergeCell ref="G72:H72"/>
    <mergeCell ref="B74:F74"/>
    <mergeCell ref="G74:H74"/>
    <mergeCell ref="B79:F79"/>
    <mergeCell ref="G79:H79"/>
    <mergeCell ref="B106:F106"/>
    <mergeCell ref="G106:H106"/>
    <mergeCell ref="B108:F108"/>
    <mergeCell ref="G108:H108"/>
    <mergeCell ref="B110:F110"/>
    <mergeCell ref="G110:H110"/>
    <mergeCell ref="B126:F126"/>
    <mergeCell ref="G126:H126"/>
  </mergeCells>
  <printOptions headings="false" gridLines="false" gridLinesSet="true" horizontalCentered="false" verticalCentered="false"/>
  <pageMargins left="0.4" right="0.4" top="1" bottom="1" header="0.511811023622047" footer="0.5"/>
  <pageSetup paperSize="9" scale="100" fitToWidth="1" fitToHeight="0" pageOrder="downThenOver" orientation="landscape" blackAndWhite="false" draft="false" cellComments="none" firstPageNumber="1" useFirstPageNumber="true" horizontalDpi="300" verticalDpi="300" copies="1"/>
  <headerFooter differentFirst="false" differentOddEven="false">
    <oddHeader/>
    <oddFooter>&amp;C条文別整理表　p.&amp;P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30"/>
    <col collapsed="false" customWidth="true" hidden="false" outlineLevel="0" max="25" min="4" style="0" width="4.5"/>
    <col collapsed="false" customWidth="true" hidden="false" outlineLevel="0" max="27" min="26" style="0" width="8"/>
  </cols>
  <sheetData>
    <row r="1" customFormat="false" ht="19.4" hidden="false" customHeight="false" outlineLevel="0" collapsed="false">
      <c r="A1" s="38" t="s">
        <v>239</v>
      </c>
    </row>
    <row r="2" customFormat="false" ht="15" hidden="false" customHeight="false" outlineLevel="0" collapsed="false">
      <c r="A2" s="23" t="s">
        <v>240</v>
      </c>
    </row>
    <row r="4" customFormat="false" ht="15" hidden="false" customHeight="true" outlineLevel="0" collapsed="false">
      <c r="A4" s="39" t="s">
        <v>32</v>
      </c>
      <c r="B4" s="39" t="s">
        <v>241</v>
      </c>
      <c r="C4" s="39" t="s">
        <v>33</v>
      </c>
      <c r="D4" s="40" t="n">
        <v>46204</v>
      </c>
      <c r="E4" s="40" t="n">
        <v>46205</v>
      </c>
      <c r="F4" s="40" t="n">
        <v>46206</v>
      </c>
      <c r="G4" s="40" t="n">
        <v>46209</v>
      </c>
      <c r="H4" s="40" t="n">
        <v>46210</v>
      </c>
      <c r="I4" s="40" t="n">
        <v>46211</v>
      </c>
      <c r="J4" s="40" t="n">
        <v>46212</v>
      </c>
      <c r="K4" s="40" t="n">
        <v>46213</v>
      </c>
      <c r="L4" s="40" t="n">
        <v>46216</v>
      </c>
      <c r="M4" s="40" t="n">
        <v>46217</v>
      </c>
      <c r="N4" s="40" t="n">
        <v>46218</v>
      </c>
      <c r="O4" s="40" t="n">
        <v>46219</v>
      </c>
      <c r="P4" s="40" t="n">
        <v>46220</v>
      </c>
      <c r="Q4" s="40" t="n">
        <v>46224</v>
      </c>
      <c r="R4" s="40" t="n">
        <v>46225</v>
      </c>
      <c r="S4" s="40" t="n">
        <v>46226</v>
      </c>
      <c r="T4" s="40" t="n">
        <v>46227</v>
      </c>
      <c r="U4" s="40" t="n">
        <v>46230</v>
      </c>
      <c r="V4" s="40" t="n">
        <v>46231</v>
      </c>
      <c r="W4" s="40" t="n">
        <v>46232</v>
      </c>
      <c r="X4" s="40" t="n">
        <v>46233</v>
      </c>
      <c r="Y4" s="40" t="n">
        <v>46234</v>
      </c>
      <c r="Z4" s="39" t="s">
        <v>242</v>
      </c>
      <c r="AA4" s="39" t="s">
        <v>35</v>
      </c>
    </row>
    <row r="5" customFormat="false" ht="15" hidden="false" customHeight="false" outlineLevel="0" collapsed="false">
      <c r="A5" s="39"/>
      <c r="B5" s="39"/>
      <c r="C5" s="39"/>
      <c r="D5" s="39" t="str">
        <f aca="false">MID("日月火水木金土",WEEKDAY(D4),1)</f>
        <v>水</v>
      </c>
      <c r="E5" s="39" t="str">
        <f aca="false">MID("日月火水木金土",WEEKDAY(E4),1)</f>
        <v>木</v>
      </c>
      <c r="F5" s="39" t="str">
        <f aca="false">MID("日月火水木金土",WEEKDAY(F4),1)</f>
        <v>金</v>
      </c>
      <c r="G5" s="39" t="str">
        <f aca="false">MID("日月火水木金土",WEEKDAY(G4),1)</f>
        <v>月</v>
      </c>
      <c r="H5" s="39" t="str">
        <f aca="false">MID("日月火水木金土",WEEKDAY(H4),1)</f>
        <v>火</v>
      </c>
      <c r="I5" s="39" t="str">
        <f aca="false">MID("日月火水木金土",WEEKDAY(I4),1)</f>
        <v>水</v>
      </c>
      <c r="J5" s="39" t="str">
        <f aca="false">MID("日月火水木金土",WEEKDAY(J4),1)</f>
        <v>木</v>
      </c>
      <c r="K5" s="39" t="str">
        <f aca="false">MID("日月火水木金土",WEEKDAY(K4),1)</f>
        <v>金</v>
      </c>
      <c r="L5" s="39" t="str">
        <f aca="false">MID("日月火水木金土",WEEKDAY(L4),1)</f>
        <v>月</v>
      </c>
      <c r="M5" s="39" t="str">
        <f aca="false">MID("日月火水木金土",WEEKDAY(M4),1)</f>
        <v>火</v>
      </c>
      <c r="N5" s="39" t="str">
        <f aca="false">MID("日月火水木金土",WEEKDAY(N4),1)</f>
        <v>水</v>
      </c>
      <c r="O5" s="39" t="str">
        <f aca="false">MID("日月火水木金土",WEEKDAY(O4),1)</f>
        <v>木</v>
      </c>
      <c r="P5" s="39" t="str">
        <f aca="false">MID("日月火水木金土",WEEKDAY(P4),1)</f>
        <v>金</v>
      </c>
      <c r="Q5" s="39" t="str">
        <f aca="false">MID("日月火水木金土",WEEKDAY(Q4),1)</f>
        <v>火</v>
      </c>
      <c r="R5" s="39" t="str">
        <f aca="false">MID("日月火水木金土",WEEKDAY(R4),1)</f>
        <v>水</v>
      </c>
      <c r="S5" s="39" t="str">
        <f aca="false">MID("日月火水木金土",WEEKDAY(S4),1)</f>
        <v>木</v>
      </c>
      <c r="T5" s="39" t="str">
        <f aca="false">MID("日月火水木金土",WEEKDAY(T4),1)</f>
        <v>金</v>
      </c>
      <c r="U5" s="39" t="str">
        <f aca="false">MID("日月火水木金土",WEEKDAY(U4),1)</f>
        <v>月</v>
      </c>
      <c r="V5" s="39" t="str">
        <f aca="false">MID("日月火水木金土",WEEKDAY(V4),1)</f>
        <v>火</v>
      </c>
      <c r="W5" s="39" t="str">
        <f aca="false">MID("日月火水木金土",WEEKDAY(W4),1)</f>
        <v>水</v>
      </c>
      <c r="X5" s="39" t="str">
        <f aca="false">MID("日月火水木金土",WEEKDAY(X4),1)</f>
        <v>木</v>
      </c>
      <c r="Y5" s="39" t="str">
        <f aca="false">MID("日月火水木金土",WEEKDAY(Y4),1)</f>
        <v>金</v>
      </c>
      <c r="Z5" s="39"/>
      <c r="AA5" s="39"/>
    </row>
    <row r="6" customFormat="false" ht="15" hidden="false" customHeight="false" outlineLevel="0" collapsed="false">
      <c r="A6" s="41" t="s">
        <v>243</v>
      </c>
      <c r="B6" s="42" t="str">
        <f aca="false">INDEX(条文マスタ!$B$5:$B$24,MATCH($A6,条文マスタ!$A$5:$A$24,0))</f>
        <v>第1章 総則</v>
      </c>
      <c r="C6" s="42" t="str">
        <f aca="false">INDEX(条文マスタ!$C$5:$C$24,MATCH($A6,条文マスタ!$A$5:$A$24,0))</f>
        <v>管理技術者等（監督に関する業務の厳正な実施）</v>
      </c>
      <c r="D6" s="43" t="n">
        <f aca="false">COUNTIFS(条文別整理表!$A$9:$A$135,$A6,条文別整理表!$D$9:$D$135,D$4,条文別整理表!$C$9:$C$135,"&gt;0")</f>
        <v>0</v>
      </c>
      <c r="E6" s="43" t="n">
        <f aca="false">COUNTIFS(条文別整理表!$A$9:$A$135,$A6,条文別整理表!$D$9:$D$135,E$4,条文別整理表!$C$9:$C$135,"&gt;0")</f>
        <v>0</v>
      </c>
      <c r="F6" s="43" t="n">
        <f aca="false">COUNTIFS(条文別整理表!$A$9:$A$135,$A6,条文別整理表!$D$9:$D$135,F$4,条文別整理表!$C$9:$C$135,"&gt;0")</f>
        <v>0</v>
      </c>
      <c r="G6" s="43" t="n">
        <f aca="false">COUNTIFS(条文別整理表!$A$9:$A$135,$A6,条文別整理表!$D$9:$D$135,G$4,条文別整理表!$C$9:$C$135,"&gt;0")</f>
        <v>0</v>
      </c>
      <c r="H6" s="43" t="n">
        <f aca="false">COUNTIFS(条文別整理表!$A$9:$A$135,$A6,条文別整理表!$D$9:$D$135,H$4,条文別整理表!$C$9:$C$135,"&gt;0")</f>
        <v>0</v>
      </c>
      <c r="I6" s="43" t="n">
        <f aca="false">COUNTIFS(条文別整理表!$A$9:$A$135,$A6,条文別整理表!$D$9:$D$135,I$4,条文別整理表!$C$9:$C$135,"&gt;0")</f>
        <v>0</v>
      </c>
      <c r="J6" s="43" t="n">
        <f aca="false">COUNTIFS(条文別整理表!$A$9:$A$135,$A6,条文別整理表!$D$9:$D$135,J$4,条文別整理表!$C$9:$C$135,"&gt;0")</f>
        <v>0</v>
      </c>
      <c r="K6" s="43" t="n">
        <f aca="false">COUNTIFS(条文別整理表!$A$9:$A$135,$A6,条文別整理表!$D$9:$D$135,K$4,条文別整理表!$C$9:$C$135,"&gt;0")</f>
        <v>0</v>
      </c>
      <c r="L6" s="43" t="n">
        <f aca="false">COUNTIFS(条文別整理表!$A$9:$A$135,$A6,条文別整理表!$D$9:$D$135,L$4,条文別整理表!$C$9:$C$135,"&gt;0")</f>
        <v>0</v>
      </c>
      <c r="M6" s="43" t="n">
        <f aca="false">COUNTIFS(条文別整理表!$A$9:$A$135,$A6,条文別整理表!$D$9:$D$135,M$4,条文別整理表!$C$9:$C$135,"&gt;0")</f>
        <v>0</v>
      </c>
      <c r="N6" s="43" t="n">
        <f aca="false">COUNTIFS(条文別整理表!$A$9:$A$135,$A6,条文別整理表!$D$9:$D$135,N$4,条文別整理表!$C$9:$C$135,"&gt;0")</f>
        <v>0</v>
      </c>
      <c r="O6" s="43" t="n">
        <f aca="false">COUNTIFS(条文別整理表!$A$9:$A$135,$A6,条文別整理表!$D$9:$D$135,O$4,条文別整理表!$C$9:$C$135,"&gt;0")</f>
        <v>0</v>
      </c>
      <c r="P6" s="43" t="n">
        <f aca="false">COUNTIFS(条文別整理表!$A$9:$A$135,$A6,条文別整理表!$D$9:$D$135,P$4,条文別整理表!$C$9:$C$135,"&gt;0")</f>
        <v>0</v>
      </c>
      <c r="Q6" s="43" t="n">
        <f aca="false">COUNTIFS(条文別整理表!$A$9:$A$135,$A6,条文別整理表!$D$9:$D$135,Q$4,条文別整理表!$C$9:$C$135,"&gt;0")</f>
        <v>0</v>
      </c>
      <c r="R6" s="43" t="n">
        <f aca="false">COUNTIFS(条文別整理表!$A$9:$A$135,$A6,条文別整理表!$D$9:$D$135,R$4,条文別整理表!$C$9:$C$135,"&gt;0")</f>
        <v>0</v>
      </c>
      <c r="S6" s="43" t="n">
        <f aca="false">COUNTIFS(条文別整理表!$A$9:$A$135,$A6,条文別整理表!$D$9:$D$135,S$4,条文別整理表!$C$9:$C$135,"&gt;0")</f>
        <v>0</v>
      </c>
      <c r="T6" s="43" t="n">
        <f aca="false">COUNTIFS(条文別整理表!$A$9:$A$135,$A6,条文別整理表!$D$9:$D$135,T$4,条文別整理表!$C$9:$C$135,"&gt;0")</f>
        <v>0</v>
      </c>
      <c r="U6" s="43" t="n">
        <f aca="false">COUNTIFS(条文別整理表!$A$9:$A$135,$A6,条文別整理表!$D$9:$D$135,U$4,条文別整理表!$C$9:$C$135,"&gt;0")</f>
        <v>0</v>
      </c>
      <c r="V6" s="43" t="n">
        <f aca="false">COUNTIFS(条文別整理表!$A$9:$A$135,$A6,条文別整理表!$D$9:$D$135,V$4,条文別整理表!$C$9:$C$135,"&gt;0")</f>
        <v>0</v>
      </c>
      <c r="W6" s="43" t="n">
        <f aca="false">COUNTIFS(条文別整理表!$A$9:$A$135,$A6,条文別整理表!$D$9:$D$135,W$4,条文別整理表!$C$9:$C$135,"&gt;0")</f>
        <v>0</v>
      </c>
      <c r="X6" s="43" t="n">
        <f aca="false">COUNTIFS(条文別整理表!$A$9:$A$135,$A6,条文別整理表!$D$9:$D$135,X$4,条文別整理表!$C$9:$C$135,"&gt;0")</f>
        <v>0</v>
      </c>
      <c r="Y6" s="43" t="n">
        <f aca="false">COUNTIFS(条文別整理表!$A$9:$A$135,$A6,条文別整理表!$D$9:$D$135,Y$4,条文別整理表!$C$9:$C$135,"&gt;0")</f>
        <v>0</v>
      </c>
      <c r="Z6" s="44" t="n">
        <f aca="false">SUM(D6:Y6)</f>
        <v>0</v>
      </c>
      <c r="AA6" s="44" t="n">
        <f aca="false">COUNTIF(D6:Y6,"&gt;0")</f>
        <v>0</v>
      </c>
    </row>
    <row r="7" customFormat="false" ht="15" hidden="false" customHeight="false" outlineLevel="0" collapsed="false">
      <c r="A7" s="41" t="s">
        <v>244</v>
      </c>
      <c r="B7" s="42" t="str">
        <f aca="false">INDEX(条文マスタ!$B$5:$B$24,MATCH($A7,条文マスタ!$A$5:$A$24,0))</f>
        <v>第1章 総則</v>
      </c>
      <c r="C7" s="42" t="str">
        <f aca="false">INDEX(条文マスタ!$C$5:$C$24,MATCH($A7,条文マスタ!$A$5:$A$24,0))</f>
        <v>管理技術者等（工事請負者等への連絡・通知）</v>
      </c>
      <c r="D7" s="43" t="n">
        <f aca="false">COUNTIFS(条文別整理表!$A$9:$A$135,$A7,条文別整理表!$D$9:$D$135,D$4,条文別整理表!$C$9:$C$135,"&gt;0")</f>
        <v>0</v>
      </c>
      <c r="E7" s="43" t="n">
        <f aca="false">COUNTIFS(条文別整理表!$A$9:$A$135,$A7,条文別整理表!$D$9:$D$135,E$4,条文別整理表!$C$9:$C$135,"&gt;0")</f>
        <v>0</v>
      </c>
      <c r="F7" s="43" t="n">
        <f aca="false">COUNTIFS(条文別整理表!$A$9:$A$135,$A7,条文別整理表!$D$9:$D$135,F$4,条文別整理表!$C$9:$C$135,"&gt;0")</f>
        <v>0</v>
      </c>
      <c r="G7" s="43" t="n">
        <f aca="false">COUNTIFS(条文別整理表!$A$9:$A$135,$A7,条文別整理表!$D$9:$D$135,G$4,条文別整理表!$C$9:$C$135,"&gt;0")</f>
        <v>0</v>
      </c>
      <c r="H7" s="43" t="n">
        <f aca="false">COUNTIFS(条文別整理表!$A$9:$A$135,$A7,条文別整理表!$D$9:$D$135,H$4,条文別整理表!$C$9:$C$135,"&gt;0")</f>
        <v>0</v>
      </c>
      <c r="I7" s="43" t="n">
        <f aca="false">COUNTIFS(条文別整理表!$A$9:$A$135,$A7,条文別整理表!$D$9:$D$135,I$4,条文別整理表!$C$9:$C$135,"&gt;0")</f>
        <v>0</v>
      </c>
      <c r="J7" s="43" t="n">
        <f aca="false">COUNTIFS(条文別整理表!$A$9:$A$135,$A7,条文別整理表!$D$9:$D$135,J$4,条文別整理表!$C$9:$C$135,"&gt;0")</f>
        <v>0</v>
      </c>
      <c r="K7" s="43" t="n">
        <f aca="false">COUNTIFS(条文別整理表!$A$9:$A$135,$A7,条文別整理表!$D$9:$D$135,K$4,条文別整理表!$C$9:$C$135,"&gt;0")</f>
        <v>0</v>
      </c>
      <c r="L7" s="43" t="n">
        <f aca="false">COUNTIFS(条文別整理表!$A$9:$A$135,$A7,条文別整理表!$D$9:$D$135,L$4,条文別整理表!$C$9:$C$135,"&gt;0")</f>
        <v>0</v>
      </c>
      <c r="M7" s="43" t="n">
        <f aca="false">COUNTIFS(条文別整理表!$A$9:$A$135,$A7,条文別整理表!$D$9:$D$135,M$4,条文別整理表!$C$9:$C$135,"&gt;0")</f>
        <v>0</v>
      </c>
      <c r="N7" s="43" t="n">
        <f aca="false">COUNTIFS(条文別整理表!$A$9:$A$135,$A7,条文別整理表!$D$9:$D$135,N$4,条文別整理表!$C$9:$C$135,"&gt;0")</f>
        <v>0</v>
      </c>
      <c r="O7" s="43" t="n">
        <f aca="false">COUNTIFS(条文別整理表!$A$9:$A$135,$A7,条文別整理表!$D$9:$D$135,O$4,条文別整理表!$C$9:$C$135,"&gt;0")</f>
        <v>0</v>
      </c>
      <c r="P7" s="43" t="n">
        <f aca="false">COUNTIFS(条文別整理表!$A$9:$A$135,$A7,条文別整理表!$D$9:$D$135,P$4,条文別整理表!$C$9:$C$135,"&gt;0")</f>
        <v>0</v>
      </c>
      <c r="Q7" s="43" t="n">
        <f aca="false">COUNTIFS(条文別整理表!$A$9:$A$135,$A7,条文別整理表!$D$9:$D$135,Q$4,条文別整理表!$C$9:$C$135,"&gt;0")</f>
        <v>0</v>
      </c>
      <c r="R7" s="43" t="n">
        <f aca="false">COUNTIFS(条文別整理表!$A$9:$A$135,$A7,条文別整理表!$D$9:$D$135,R$4,条文別整理表!$C$9:$C$135,"&gt;0")</f>
        <v>0</v>
      </c>
      <c r="S7" s="43" t="n">
        <f aca="false">COUNTIFS(条文別整理表!$A$9:$A$135,$A7,条文別整理表!$D$9:$D$135,S$4,条文別整理表!$C$9:$C$135,"&gt;0")</f>
        <v>0</v>
      </c>
      <c r="T7" s="43" t="n">
        <f aca="false">COUNTIFS(条文別整理表!$A$9:$A$135,$A7,条文別整理表!$D$9:$D$135,T$4,条文別整理表!$C$9:$C$135,"&gt;0")</f>
        <v>0</v>
      </c>
      <c r="U7" s="43" t="n">
        <f aca="false">COUNTIFS(条文別整理表!$A$9:$A$135,$A7,条文別整理表!$D$9:$D$135,U$4,条文別整理表!$C$9:$C$135,"&gt;0")</f>
        <v>0</v>
      </c>
      <c r="V7" s="43" t="n">
        <f aca="false">COUNTIFS(条文別整理表!$A$9:$A$135,$A7,条文別整理表!$D$9:$D$135,V$4,条文別整理表!$C$9:$C$135,"&gt;0")</f>
        <v>0</v>
      </c>
      <c r="W7" s="43" t="n">
        <f aca="false">COUNTIFS(条文別整理表!$A$9:$A$135,$A7,条文別整理表!$D$9:$D$135,W$4,条文別整理表!$C$9:$C$135,"&gt;0")</f>
        <v>0</v>
      </c>
      <c r="X7" s="43" t="n">
        <f aca="false">COUNTIFS(条文別整理表!$A$9:$A$135,$A7,条文別整理表!$D$9:$D$135,X$4,条文別整理表!$C$9:$C$135,"&gt;0")</f>
        <v>0</v>
      </c>
      <c r="Y7" s="43" t="n">
        <f aca="false">COUNTIFS(条文別整理表!$A$9:$A$135,$A7,条文別整理表!$D$9:$D$135,Y$4,条文別整理表!$C$9:$C$135,"&gt;0")</f>
        <v>0</v>
      </c>
      <c r="Z7" s="44" t="n">
        <f aca="false">SUM(D7:Y7)</f>
        <v>0</v>
      </c>
      <c r="AA7" s="44" t="n">
        <f aca="false">COUNTIF(D7:Y7,"&gt;0")</f>
        <v>0</v>
      </c>
    </row>
    <row r="8" customFormat="false" ht="25.35" hidden="false" customHeight="false" outlineLevel="0" collapsed="false">
      <c r="A8" s="41" t="s">
        <v>245</v>
      </c>
      <c r="B8" s="42" t="str">
        <f aca="false">INDEX(条文マスタ!$B$5:$B$24,MATCH($A8,条文マスタ!$A$5:$A$24,0))</f>
        <v>第1章 総則</v>
      </c>
      <c r="C8" s="42" t="str">
        <f aca="false">INDEX(条文マスタ!$C$5:$C$24,MATCH($A8,条文マスタ!$A$5:$A$24,0))</f>
        <v>管理技術者等（設計図書の理解・現場状況の精通）</v>
      </c>
      <c r="D8" s="43" t="n">
        <f aca="false">COUNTIFS(条文別整理表!$A$9:$A$135,$A8,条文別整理表!$D$9:$D$135,D$4,条文別整理表!$C$9:$C$135,"&gt;0")</f>
        <v>0</v>
      </c>
      <c r="E8" s="43" t="n">
        <f aca="false">COUNTIFS(条文別整理表!$A$9:$A$135,$A8,条文別整理表!$D$9:$D$135,E$4,条文別整理表!$C$9:$C$135,"&gt;0")</f>
        <v>0</v>
      </c>
      <c r="F8" s="43" t="n">
        <f aca="false">COUNTIFS(条文別整理表!$A$9:$A$135,$A8,条文別整理表!$D$9:$D$135,F$4,条文別整理表!$C$9:$C$135,"&gt;0")</f>
        <v>0</v>
      </c>
      <c r="G8" s="43" t="n">
        <f aca="false">COUNTIFS(条文別整理表!$A$9:$A$135,$A8,条文別整理表!$D$9:$D$135,G$4,条文別整理表!$C$9:$C$135,"&gt;0")</f>
        <v>0</v>
      </c>
      <c r="H8" s="43" t="n">
        <f aca="false">COUNTIFS(条文別整理表!$A$9:$A$135,$A8,条文別整理表!$D$9:$D$135,H$4,条文別整理表!$C$9:$C$135,"&gt;0")</f>
        <v>1</v>
      </c>
      <c r="I8" s="43" t="n">
        <f aca="false">COUNTIFS(条文別整理表!$A$9:$A$135,$A8,条文別整理表!$D$9:$D$135,I$4,条文別整理表!$C$9:$C$135,"&gt;0")</f>
        <v>0</v>
      </c>
      <c r="J8" s="43" t="n">
        <f aca="false">COUNTIFS(条文別整理表!$A$9:$A$135,$A8,条文別整理表!$D$9:$D$135,J$4,条文別整理表!$C$9:$C$135,"&gt;0")</f>
        <v>0</v>
      </c>
      <c r="K8" s="43" t="n">
        <f aca="false">COUNTIFS(条文別整理表!$A$9:$A$135,$A8,条文別整理表!$D$9:$D$135,K$4,条文別整理表!$C$9:$C$135,"&gt;0")</f>
        <v>0</v>
      </c>
      <c r="L8" s="43" t="n">
        <f aca="false">COUNTIFS(条文別整理表!$A$9:$A$135,$A8,条文別整理表!$D$9:$D$135,L$4,条文別整理表!$C$9:$C$135,"&gt;0")</f>
        <v>0</v>
      </c>
      <c r="M8" s="43" t="n">
        <f aca="false">COUNTIFS(条文別整理表!$A$9:$A$135,$A8,条文別整理表!$D$9:$D$135,M$4,条文別整理表!$C$9:$C$135,"&gt;0")</f>
        <v>0</v>
      </c>
      <c r="N8" s="43" t="n">
        <f aca="false">COUNTIFS(条文別整理表!$A$9:$A$135,$A8,条文別整理表!$D$9:$D$135,N$4,条文別整理表!$C$9:$C$135,"&gt;0")</f>
        <v>0</v>
      </c>
      <c r="O8" s="43" t="n">
        <f aca="false">COUNTIFS(条文別整理表!$A$9:$A$135,$A8,条文別整理表!$D$9:$D$135,O$4,条文別整理表!$C$9:$C$135,"&gt;0")</f>
        <v>0</v>
      </c>
      <c r="P8" s="43" t="n">
        <f aca="false">COUNTIFS(条文別整理表!$A$9:$A$135,$A8,条文別整理表!$D$9:$D$135,P$4,条文別整理表!$C$9:$C$135,"&gt;0")</f>
        <v>0</v>
      </c>
      <c r="Q8" s="43" t="n">
        <f aca="false">COUNTIFS(条文別整理表!$A$9:$A$135,$A8,条文別整理表!$D$9:$D$135,Q$4,条文別整理表!$C$9:$C$135,"&gt;0")</f>
        <v>0</v>
      </c>
      <c r="R8" s="43" t="n">
        <f aca="false">COUNTIFS(条文別整理表!$A$9:$A$135,$A8,条文別整理表!$D$9:$D$135,R$4,条文別整理表!$C$9:$C$135,"&gt;0")</f>
        <v>0</v>
      </c>
      <c r="S8" s="43" t="n">
        <f aca="false">COUNTIFS(条文別整理表!$A$9:$A$135,$A8,条文別整理表!$D$9:$D$135,S$4,条文別整理表!$C$9:$C$135,"&gt;0")</f>
        <v>0</v>
      </c>
      <c r="T8" s="43" t="n">
        <f aca="false">COUNTIFS(条文別整理表!$A$9:$A$135,$A8,条文別整理表!$D$9:$D$135,T$4,条文別整理表!$C$9:$C$135,"&gt;0")</f>
        <v>0</v>
      </c>
      <c r="U8" s="43" t="n">
        <f aca="false">COUNTIFS(条文別整理表!$A$9:$A$135,$A8,条文別整理表!$D$9:$D$135,U$4,条文別整理表!$C$9:$C$135,"&gt;0")</f>
        <v>0</v>
      </c>
      <c r="V8" s="43" t="n">
        <f aca="false">COUNTIFS(条文別整理表!$A$9:$A$135,$A8,条文別整理表!$D$9:$D$135,V$4,条文別整理表!$C$9:$C$135,"&gt;0")</f>
        <v>0</v>
      </c>
      <c r="W8" s="43" t="n">
        <f aca="false">COUNTIFS(条文別整理表!$A$9:$A$135,$A8,条文別整理表!$D$9:$D$135,W$4,条文別整理表!$C$9:$C$135,"&gt;0")</f>
        <v>0</v>
      </c>
      <c r="X8" s="43" t="n">
        <f aca="false">COUNTIFS(条文別整理表!$A$9:$A$135,$A8,条文別整理表!$D$9:$D$135,X$4,条文別整理表!$C$9:$C$135,"&gt;0")</f>
        <v>0</v>
      </c>
      <c r="Y8" s="43" t="n">
        <f aca="false">COUNTIFS(条文別整理表!$A$9:$A$135,$A8,条文別整理表!$D$9:$D$135,Y$4,条文別整理表!$C$9:$C$135,"&gt;0")</f>
        <v>0</v>
      </c>
      <c r="Z8" s="44" t="n">
        <f aca="false">SUM(D8:Y8)</f>
        <v>1</v>
      </c>
      <c r="AA8" s="44" t="n">
        <f aca="false">COUNTIF(D8:Y8,"&gt;0")</f>
        <v>1</v>
      </c>
    </row>
    <row r="9" customFormat="false" ht="15" hidden="false" customHeight="false" outlineLevel="0" collapsed="false">
      <c r="A9" s="41" t="s">
        <v>246</v>
      </c>
      <c r="B9" s="42" t="str">
        <f aca="false">INDEX(条文マスタ!$B$5:$B$24,MATCH($A9,条文マスタ!$A$5:$A$24,0))</f>
        <v>第1章 総則</v>
      </c>
      <c r="C9" s="42" t="str">
        <f aca="false">INDEX(条文マスタ!$C$5:$C$24,MATCH($A9,条文マスタ!$A$5:$A$24,0))</f>
        <v>管理技術者等（図書の整理）</v>
      </c>
      <c r="D9" s="43" t="n">
        <f aca="false">COUNTIFS(条文別整理表!$A$9:$A$135,$A9,条文別整理表!$D$9:$D$135,D$4,条文別整理表!$C$9:$C$135,"&gt;0")</f>
        <v>2</v>
      </c>
      <c r="E9" s="43" t="n">
        <f aca="false">COUNTIFS(条文別整理表!$A$9:$A$135,$A9,条文別整理表!$D$9:$D$135,E$4,条文別整理表!$C$9:$C$135,"&gt;0")</f>
        <v>2</v>
      </c>
      <c r="F9" s="43" t="n">
        <f aca="false">COUNTIFS(条文別整理表!$A$9:$A$135,$A9,条文別整理表!$D$9:$D$135,F$4,条文別整理表!$C$9:$C$135,"&gt;0")</f>
        <v>0</v>
      </c>
      <c r="G9" s="43" t="n">
        <f aca="false">COUNTIFS(条文別整理表!$A$9:$A$135,$A9,条文別整理表!$D$9:$D$135,G$4,条文別整理表!$C$9:$C$135,"&gt;0")</f>
        <v>1</v>
      </c>
      <c r="H9" s="43" t="n">
        <f aca="false">COUNTIFS(条文別整理表!$A$9:$A$135,$A9,条文別整理表!$D$9:$D$135,H$4,条文別整理表!$C$9:$C$135,"&gt;0")</f>
        <v>2</v>
      </c>
      <c r="I9" s="43" t="n">
        <f aca="false">COUNTIFS(条文別整理表!$A$9:$A$135,$A9,条文別整理表!$D$9:$D$135,I$4,条文別整理表!$C$9:$C$135,"&gt;0")</f>
        <v>0</v>
      </c>
      <c r="J9" s="43" t="n">
        <f aca="false">COUNTIFS(条文別整理表!$A$9:$A$135,$A9,条文別整理表!$D$9:$D$135,J$4,条文別整理表!$C$9:$C$135,"&gt;0")</f>
        <v>0</v>
      </c>
      <c r="K9" s="43" t="n">
        <f aca="false">COUNTIFS(条文別整理表!$A$9:$A$135,$A9,条文別整理表!$D$9:$D$135,K$4,条文別整理表!$C$9:$C$135,"&gt;0")</f>
        <v>0</v>
      </c>
      <c r="L9" s="43" t="n">
        <f aca="false">COUNTIFS(条文別整理表!$A$9:$A$135,$A9,条文別整理表!$D$9:$D$135,L$4,条文別整理表!$C$9:$C$135,"&gt;0")</f>
        <v>0</v>
      </c>
      <c r="M9" s="43" t="n">
        <f aca="false">COUNTIFS(条文別整理表!$A$9:$A$135,$A9,条文別整理表!$D$9:$D$135,M$4,条文別整理表!$C$9:$C$135,"&gt;0")</f>
        <v>0</v>
      </c>
      <c r="N9" s="43" t="n">
        <f aca="false">COUNTIFS(条文別整理表!$A$9:$A$135,$A9,条文別整理表!$D$9:$D$135,N$4,条文別整理表!$C$9:$C$135,"&gt;0")</f>
        <v>0</v>
      </c>
      <c r="O9" s="43" t="n">
        <f aca="false">COUNTIFS(条文別整理表!$A$9:$A$135,$A9,条文別整理表!$D$9:$D$135,O$4,条文別整理表!$C$9:$C$135,"&gt;0")</f>
        <v>0</v>
      </c>
      <c r="P9" s="43" t="n">
        <f aca="false">COUNTIFS(条文別整理表!$A$9:$A$135,$A9,条文別整理表!$D$9:$D$135,P$4,条文別整理表!$C$9:$C$135,"&gt;0")</f>
        <v>0</v>
      </c>
      <c r="Q9" s="43" t="n">
        <f aca="false">COUNTIFS(条文別整理表!$A$9:$A$135,$A9,条文別整理表!$D$9:$D$135,Q$4,条文別整理表!$C$9:$C$135,"&gt;0")</f>
        <v>0</v>
      </c>
      <c r="R9" s="43" t="n">
        <f aca="false">COUNTIFS(条文別整理表!$A$9:$A$135,$A9,条文別整理表!$D$9:$D$135,R$4,条文別整理表!$C$9:$C$135,"&gt;0")</f>
        <v>0</v>
      </c>
      <c r="S9" s="43" t="n">
        <f aca="false">COUNTIFS(条文別整理表!$A$9:$A$135,$A9,条文別整理表!$D$9:$D$135,S$4,条文別整理表!$C$9:$C$135,"&gt;0")</f>
        <v>0</v>
      </c>
      <c r="T9" s="43" t="n">
        <f aca="false">COUNTIFS(条文別整理表!$A$9:$A$135,$A9,条文別整理表!$D$9:$D$135,T$4,条文別整理表!$C$9:$C$135,"&gt;0")</f>
        <v>0</v>
      </c>
      <c r="U9" s="43" t="n">
        <f aca="false">COUNTIFS(条文別整理表!$A$9:$A$135,$A9,条文別整理表!$D$9:$D$135,U$4,条文別整理表!$C$9:$C$135,"&gt;0")</f>
        <v>0</v>
      </c>
      <c r="V9" s="43" t="n">
        <f aca="false">COUNTIFS(条文別整理表!$A$9:$A$135,$A9,条文別整理表!$D$9:$D$135,V$4,条文別整理表!$C$9:$C$135,"&gt;0")</f>
        <v>0</v>
      </c>
      <c r="W9" s="43" t="n">
        <f aca="false">COUNTIFS(条文別整理表!$A$9:$A$135,$A9,条文別整理表!$D$9:$D$135,W$4,条文別整理表!$C$9:$C$135,"&gt;0")</f>
        <v>0</v>
      </c>
      <c r="X9" s="43" t="n">
        <f aca="false">COUNTIFS(条文別整理表!$A$9:$A$135,$A9,条文別整理表!$D$9:$D$135,X$4,条文別整理表!$C$9:$C$135,"&gt;0")</f>
        <v>0</v>
      </c>
      <c r="Y9" s="43" t="n">
        <f aca="false">COUNTIFS(条文別整理表!$A$9:$A$135,$A9,条文別整理表!$D$9:$D$135,Y$4,条文別整理表!$C$9:$C$135,"&gt;0")</f>
        <v>0</v>
      </c>
      <c r="Z9" s="44" t="n">
        <f aca="false">SUM(D9:Y9)</f>
        <v>7</v>
      </c>
      <c r="AA9" s="44" t="n">
        <f aca="false">COUNTIF(D9:Y9,"&gt;0")</f>
        <v>4</v>
      </c>
    </row>
    <row r="10" customFormat="false" ht="15" hidden="false" customHeight="false" outlineLevel="0" collapsed="false">
      <c r="A10" s="41" t="s">
        <v>247</v>
      </c>
      <c r="B10" s="42" t="str">
        <f aca="false">INDEX(条文マスタ!$B$5:$B$24,MATCH($A10,条文マスタ!$A$5:$A$24,0))</f>
        <v>第1章 総則</v>
      </c>
      <c r="C10" s="42" t="str">
        <f aca="false">INDEX(条文マスタ!$C$5:$C$24,MATCH($A10,条文マスタ!$A$5:$A$24,0))</f>
        <v>管理技術者等（監督職員との打合せ・協議）</v>
      </c>
      <c r="D10" s="43" t="n">
        <f aca="false">COUNTIFS(条文別整理表!$A$9:$A$135,$A10,条文別整理表!$D$9:$D$135,D$4,条文別整理表!$C$9:$C$135,"&gt;0")</f>
        <v>0</v>
      </c>
      <c r="E10" s="43" t="n">
        <f aca="false">COUNTIFS(条文別整理表!$A$9:$A$135,$A10,条文別整理表!$D$9:$D$135,E$4,条文別整理表!$C$9:$C$135,"&gt;0")</f>
        <v>0</v>
      </c>
      <c r="F10" s="43" t="n">
        <f aca="false">COUNTIFS(条文別整理表!$A$9:$A$135,$A10,条文別整理表!$D$9:$D$135,F$4,条文別整理表!$C$9:$C$135,"&gt;0")</f>
        <v>0</v>
      </c>
      <c r="G10" s="43" t="n">
        <f aca="false">COUNTIFS(条文別整理表!$A$9:$A$135,$A10,条文別整理表!$D$9:$D$135,G$4,条文別整理表!$C$9:$C$135,"&gt;0")</f>
        <v>0</v>
      </c>
      <c r="H10" s="43" t="n">
        <f aca="false">COUNTIFS(条文別整理表!$A$9:$A$135,$A10,条文別整理表!$D$9:$D$135,H$4,条文別整理表!$C$9:$C$135,"&gt;0")</f>
        <v>0</v>
      </c>
      <c r="I10" s="43" t="n">
        <f aca="false">COUNTIFS(条文別整理表!$A$9:$A$135,$A10,条文別整理表!$D$9:$D$135,I$4,条文別整理表!$C$9:$C$135,"&gt;0")</f>
        <v>0</v>
      </c>
      <c r="J10" s="43" t="n">
        <f aca="false">COUNTIFS(条文別整理表!$A$9:$A$135,$A10,条文別整理表!$D$9:$D$135,J$4,条文別整理表!$C$9:$C$135,"&gt;0")</f>
        <v>0</v>
      </c>
      <c r="K10" s="43" t="n">
        <f aca="false">COUNTIFS(条文別整理表!$A$9:$A$135,$A10,条文別整理表!$D$9:$D$135,K$4,条文別整理表!$C$9:$C$135,"&gt;0")</f>
        <v>0</v>
      </c>
      <c r="L10" s="43" t="n">
        <f aca="false">COUNTIFS(条文別整理表!$A$9:$A$135,$A10,条文別整理表!$D$9:$D$135,L$4,条文別整理表!$C$9:$C$135,"&gt;0")</f>
        <v>0</v>
      </c>
      <c r="M10" s="43" t="n">
        <f aca="false">COUNTIFS(条文別整理表!$A$9:$A$135,$A10,条文別整理表!$D$9:$D$135,M$4,条文別整理表!$C$9:$C$135,"&gt;0")</f>
        <v>0</v>
      </c>
      <c r="N10" s="43" t="n">
        <f aca="false">COUNTIFS(条文別整理表!$A$9:$A$135,$A10,条文別整理表!$D$9:$D$135,N$4,条文別整理表!$C$9:$C$135,"&gt;0")</f>
        <v>0</v>
      </c>
      <c r="O10" s="43" t="n">
        <f aca="false">COUNTIFS(条文別整理表!$A$9:$A$135,$A10,条文別整理表!$D$9:$D$135,O$4,条文別整理表!$C$9:$C$135,"&gt;0")</f>
        <v>0</v>
      </c>
      <c r="P10" s="43" t="n">
        <f aca="false">COUNTIFS(条文別整理表!$A$9:$A$135,$A10,条文別整理表!$D$9:$D$135,P$4,条文別整理表!$C$9:$C$135,"&gt;0")</f>
        <v>0</v>
      </c>
      <c r="Q10" s="43" t="n">
        <f aca="false">COUNTIFS(条文別整理表!$A$9:$A$135,$A10,条文別整理表!$D$9:$D$135,Q$4,条文別整理表!$C$9:$C$135,"&gt;0")</f>
        <v>0</v>
      </c>
      <c r="R10" s="43" t="n">
        <f aca="false">COUNTIFS(条文別整理表!$A$9:$A$135,$A10,条文別整理表!$D$9:$D$135,R$4,条文別整理表!$C$9:$C$135,"&gt;0")</f>
        <v>0</v>
      </c>
      <c r="S10" s="43" t="n">
        <f aca="false">COUNTIFS(条文別整理表!$A$9:$A$135,$A10,条文別整理表!$D$9:$D$135,S$4,条文別整理表!$C$9:$C$135,"&gt;0")</f>
        <v>0</v>
      </c>
      <c r="T10" s="43" t="n">
        <f aca="false">COUNTIFS(条文別整理表!$A$9:$A$135,$A10,条文別整理表!$D$9:$D$135,T$4,条文別整理表!$C$9:$C$135,"&gt;0")</f>
        <v>0</v>
      </c>
      <c r="U10" s="43" t="n">
        <f aca="false">COUNTIFS(条文別整理表!$A$9:$A$135,$A10,条文別整理表!$D$9:$D$135,U$4,条文別整理表!$C$9:$C$135,"&gt;0")</f>
        <v>0</v>
      </c>
      <c r="V10" s="43" t="n">
        <f aca="false">COUNTIFS(条文別整理表!$A$9:$A$135,$A10,条文別整理表!$D$9:$D$135,V$4,条文別整理表!$C$9:$C$135,"&gt;0")</f>
        <v>0</v>
      </c>
      <c r="W10" s="43" t="n">
        <f aca="false">COUNTIFS(条文別整理表!$A$9:$A$135,$A10,条文別整理表!$D$9:$D$135,W$4,条文別整理表!$C$9:$C$135,"&gt;0")</f>
        <v>0</v>
      </c>
      <c r="X10" s="43" t="n">
        <f aca="false">COUNTIFS(条文別整理表!$A$9:$A$135,$A10,条文別整理表!$D$9:$D$135,X$4,条文別整理表!$C$9:$C$135,"&gt;0")</f>
        <v>0</v>
      </c>
      <c r="Y10" s="43" t="n">
        <f aca="false">COUNTIFS(条文別整理表!$A$9:$A$135,$A10,条文別整理表!$D$9:$D$135,Y$4,条文別整理表!$C$9:$C$135,"&gt;0")</f>
        <v>0</v>
      </c>
      <c r="Z10" s="44" t="n">
        <f aca="false">SUM(D10:Y10)</f>
        <v>0</v>
      </c>
      <c r="AA10" s="44" t="n">
        <f aca="false">COUNTIF(D10:Y10,"&gt;0")</f>
        <v>0</v>
      </c>
    </row>
    <row r="11" customFormat="false" ht="15" hidden="false" customHeight="false" outlineLevel="0" collapsed="false">
      <c r="A11" s="41" t="s">
        <v>248</v>
      </c>
      <c r="B11" s="42" t="str">
        <f aca="false">INDEX(条文マスタ!$B$5:$B$24,MATCH($A11,条文マスタ!$A$5:$A$24,0))</f>
        <v>第1章 総則</v>
      </c>
      <c r="C11" s="42" t="str">
        <f aca="false">INDEX(条文マスタ!$C$5:$C$24,MATCH($A11,条文マスタ!$A$5:$A$24,0))</f>
        <v>業務処理予定表及び結果報告書</v>
      </c>
      <c r="D11" s="43" t="n">
        <f aca="false">COUNTIFS(条文別整理表!$A$9:$A$135,$A11,条文別整理表!$D$9:$D$135,D$4,条文別整理表!$C$9:$C$135,"&gt;0")</f>
        <v>1</v>
      </c>
      <c r="E11" s="43" t="n">
        <f aca="false">COUNTIFS(条文別整理表!$A$9:$A$135,$A11,条文別整理表!$D$9:$D$135,E$4,条文別整理表!$C$9:$C$135,"&gt;0")</f>
        <v>1</v>
      </c>
      <c r="F11" s="43" t="n">
        <f aca="false">COUNTIFS(条文別整理表!$A$9:$A$135,$A11,条文別整理表!$D$9:$D$135,F$4,条文別整理表!$C$9:$C$135,"&gt;0")</f>
        <v>1</v>
      </c>
      <c r="G11" s="43" t="n">
        <f aca="false">COUNTIFS(条文別整理表!$A$9:$A$135,$A11,条文別整理表!$D$9:$D$135,G$4,条文別整理表!$C$9:$C$135,"&gt;0")</f>
        <v>1</v>
      </c>
      <c r="H11" s="43" t="n">
        <f aca="false">COUNTIFS(条文別整理表!$A$9:$A$135,$A11,条文別整理表!$D$9:$D$135,H$4,条文別整理表!$C$9:$C$135,"&gt;0")</f>
        <v>1</v>
      </c>
      <c r="I11" s="43" t="n">
        <f aca="false">COUNTIFS(条文別整理表!$A$9:$A$135,$A11,条文別整理表!$D$9:$D$135,I$4,条文別整理表!$C$9:$C$135,"&gt;0")</f>
        <v>1</v>
      </c>
      <c r="J11" s="43" t="n">
        <f aca="false">COUNTIFS(条文別整理表!$A$9:$A$135,$A11,条文別整理表!$D$9:$D$135,J$4,条文別整理表!$C$9:$C$135,"&gt;0")</f>
        <v>1</v>
      </c>
      <c r="K11" s="43" t="n">
        <f aca="false">COUNTIFS(条文別整理表!$A$9:$A$135,$A11,条文別整理表!$D$9:$D$135,K$4,条文別整理表!$C$9:$C$135,"&gt;0")</f>
        <v>1</v>
      </c>
      <c r="L11" s="43" t="n">
        <f aca="false">COUNTIFS(条文別整理表!$A$9:$A$135,$A11,条文別整理表!$D$9:$D$135,L$4,条文別整理表!$C$9:$C$135,"&gt;0")</f>
        <v>1</v>
      </c>
      <c r="M11" s="43" t="n">
        <f aca="false">COUNTIFS(条文別整理表!$A$9:$A$135,$A11,条文別整理表!$D$9:$D$135,M$4,条文別整理表!$C$9:$C$135,"&gt;0")</f>
        <v>1</v>
      </c>
      <c r="N11" s="43" t="n">
        <f aca="false">COUNTIFS(条文別整理表!$A$9:$A$135,$A11,条文別整理表!$D$9:$D$135,N$4,条文別整理表!$C$9:$C$135,"&gt;0")</f>
        <v>1</v>
      </c>
      <c r="O11" s="43" t="n">
        <f aca="false">COUNTIFS(条文別整理表!$A$9:$A$135,$A11,条文別整理表!$D$9:$D$135,O$4,条文別整理表!$C$9:$C$135,"&gt;0")</f>
        <v>1</v>
      </c>
      <c r="P11" s="43" t="n">
        <f aca="false">COUNTIFS(条文別整理表!$A$9:$A$135,$A11,条文別整理表!$D$9:$D$135,P$4,条文別整理表!$C$9:$C$135,"&gt;0")</f>
        <v>1</v>
      </c>
      <c r="Q11" s="43" t="n">
        <f aca="false">COUNTIFS(条文別整理表!$A$9:$A$135,$A11,条文別整理表!$D$9:$D$135,Q$4,条文別整理表!$C$9:$C$135,"&gt;0")</f>
        <v>1</v>
      </c>
      <c r="R11" s="43" t="n">
        <f aca="false">COUNTIFS(条文別整理表!$A$9:$A$135,$A11,条文別整理表!$D$9:$D$135,R$4,条文別整理表!$C$9:$C$135,"&gt;0")</f>
        <v>1</v>
      </c>
      <c r="S11" s="43" t="n">
        <f aca="false">COUNTIFS(条文別整理表!$A$9:$A$135,$A11,条文別整理表!$D$9:$D$135,S$4,条文別整理表!$C$9:$C$135,"&gt;0")</f>
        <v>1</v>
      </c>
      <c r="T11" s="43" t="n">
        <f aca="false">COUNTIFS(条文別整理表!$A$9:$A$135,$A11,条文別整理表!$D$9:$D$135,T$4,条文別整理表!$C$9:$C$135,"&gt;0")</f>
        <v>1</v>
      </c>
      <c r="U11" s="43" t="n">
        <f aca="false">COUNTIFS(条文別整理表!$A$9:$A$135,$A11,条文別整理表!$D$9:$D$135,U$4,条文別整理表!$C$9:$C$135,"&gt;0")</f>
        <v>1</v>
      </c>
      <c r="V11" s="43" t="n">
        <f aca="false">COUNTIFS(条文別整理表!$A$9:$A$135,$A11,条文別整理表!$D$9:$D$135,V$4,条文別整理表!$C$9:$C$135,"&gt;0")</f>
        <v>1</v>
      </c>
      <c r="W11" s="43" t="n">
        <f aca="false">COUNTIFS(条文別整理表!$A$9:$A$135,$A11,条文別整理表!$D$9:$D$135,W$4,条文別整理表!$C$9:$C$135,"&gt;0")</f>
        <v>1</v>
      </c>
      <c r="X11" s="43" t="n">
        <f aca="false">COUNTIFS(条文別整理表!$A$9:$A$135,$A11,条文別整理表!$D$9:$D$135,X$4,条文別整理表!$C$9:$C$135,"&gt;0")</f>
        <v>1</v>
      </c>
      <c r="Y11" s="43" t="n">
        <f aca="false">COUNTIFS(条文別整理表!$A$9:$A$135,$A11,条文別整理表!$D$9:$D$135,Y$4,条文別整理表!$C$9:$C$135,"&gt;0")</f>
        <v>1</v>
      </c>
      <c r="Z11" s="44" t="n">
        <f aca="false">SUM(D11:Y11)</f>
        <v>22</v>
      </c>
      <c r="AA11" s="44" t="n">
        <f aca="false">COUNTIF(D11:Y11,"&gt;0")</f>
        <v>22</v>
      </c>
    </row>
    <row r="12" customFormat="false" ht="15" hidden="false" customHeight="false" outlineLevel="0" collapsed="false">
      <c r="A12" s="41" t="s">
        <v>249</v>
      </c>
      <c r="B12" s="42" t="str">
        <f aca="false">INDEX(条文マスタ!$B$5:$B$24,MATCH($A12,条文マスタ!$A$5:$A$24,0))</f>
        <v>第1章 総則</v>
      </c>
      <c r="C12" s="42" t="str">
        <f aca="false">INDEX(条文マスタ!$C$5:$C$24,MATCH($A12,条文マスタ!$A$5:$A$24,0))</f>
        <v>業務完了時の提出書類</v>
      </c>
      <c r="D12" s="43" t="n">
        <f aca="false">COUNTIFS(条文別整理表!$A$9:$A$135,$A12,条文別整理表!$D$9:$D$135,D$4,条文別整理表!$C$9:$C$135,"&gt;0")</f>
        <v>0</v>
      </c>
      <c r="E12" s="43" t="n">
        <f aca="false">COUNTIFS(条文別整理表!$A$9:$A$135,$A12,条文別整理表!$D$9:$D$135,E$4,条文別整理表!$C$9:$C$135,"&gt;0")</f>
        <v>0</v>
      </c>
      <c r="F12" s="43" t="n">
        <f aca="false">COUNTIFS(条文別整理表!$A$9:$A$135,$A12,条文別整理表!$D$9:$D$135,F$4,条文別整理表!$C$9:$C$135,"&gt;0")</f>
        <v>0</v>
      </c>
      <c r="G12" s="43" t="n">
        <f aca="false">COUNTIFS(条文別整理表!$A$9:$A$135,$A12,条文別整理表!$D$9:$D$135,G$4,条文別整理表!$C$9:$C$135,"&gt;0")</f>
        <v>0</v>
      </c>
      <c r="H12" s="43" t="n">
        <f aca="false">COUNTIFS(条文別整理表!$A$9:$A$135,$A12,条文別整理表!$D$9:$D$135,H$4,条文別整理表!$C$9:$C$135,"&gt;0")</f>
        <v>0</v>
      </c>
      <c r="I12" s="43" t="n">
        <f aca="false">COUNTIFS(条文別整理表!$A$9:$A$135,$A12,条文別整理表!$D$9:$D$135,I$4,条文別整理表!$C$9:$C$135,"&gt;0")</f>
        <v>0</v>
      </c>
      <c r="J12" s="43" t="n">
        <f aca="false">COUNTIFS(条文別整理表!$A$9:$A$135,$A12,条文別整理表!$D$9:$D$135,J$4,条文別整理表!$C$9:$C$135,"&gt;0")</f>
        <v>0</v>
      </c>
      <c r="K12" s="43" t="n">
        <f aca="false">COUNTIFS(条文別整理表!$A$9:$A$135,$A12,条文別整理表!$D$9:$D$135,K$4,条文別整理表!$C$9:$C$135,"&gt;0")</f>
        <v>0</v>
      </c>
      <c r="L12" s="43" t="n">
        <f aca="false">COUNTIFS(条文別整理表!$A$9:$A$135,$A12,条文別整理表!$D$9:$D$135,L$4,条文別整理表!$C$9:$C$135,"&gt;0")</f>
        <v>0</v>
      </c>
      <c r="M12" s="43" t="n">
        <f aca="false">COUNTIFS(条文別整理表!$A$9:$A$135,$A12,条文別整理表!$D$9:$D$135,M$4,条文別整理表!$C$9:$C$135,"&gt;0")</f>
        <v>0</v>
      </c>
      <c r="N12" s="43" t="n">
        <f aca="false">COUNTIFS(条文別整理表!$A$9:$A$135,$A12,条文別整理表!$D$9:$D$135,N$4,条文別整理表!$C$9:$C$135,"&gt;0")</f>
        <v>0</v>
      </c>
      <c r="O12" s="43" t="n">
        <f aca="false">COUNTIFS(条文別整理表!$A$9:$A$135,$A12,条文別整理表!$D$9:$D$135,O$4,条文別整理表!$C$9:$C$135,"&gt;0")</f>
        <v>0</v>
      </c>
      <c r="P12" s="43" t="n">
        <f aca="false">COUNTIFS(条文別整理表!$A$9:$A$135,$A12,条文別整理表!$D$9:$D$135,P$4,条文別整理表!$C$9:$C$135,"&gt;0")</f>
        <v>0</v>
      </c>
      <c r="Q12" s="43" t="n">
        <f aca="false">COUNTIFS(条文別整理表!$A$9:$A$135,$A12,条文別整理表!$D$9:$D$135,Q$4,条文別整理表!$C$9:$C$135,"&gt;0")</f>
        <v>0</v>
      </c>
      <c r="R12" s="43" t="n">
        <f aca="false">COUNTIFS(条文別整理表!$A$9:$A$135,$A12,条文別整理表!$D$9:$D$135,R$4,条文別整理表!$C$9:$C$135,"&gt;0")</f>
        <v>0</v>
      </c>
      <c r="S12" s="43" t="n">
        <f aca="false">COUNTIFS(条文別整理表!$A$9:$A$135,$A12,条文別整理表!$D$9:$D$135,S$4,条文別整理表!$C$9:$C$135,"&gt;0")</f>
        <v>0</v>
      </c>
      <c r="T12" s="43" t="n">
        <f aca="false">COUNTIFS(条文別整理表!$A$9:$A$135,$A12,条文別整理表!$D$9:$D$135,T$4,条文別整理表!$C$9:$C$135,"&gt;0")</f>
        <v>0</v>
      </c>
      <c r="U12" s="43" t="n">
        <f aca="false">COUNTIFS(条文別整理表!$A$9:$A$135,$A12,条文別整理表!$D$9:$D$135,U$4,条文別整理表!$C$9:$C$135,"&gt;0")</f>
        <v>0</v>
      </c>
      <c r="V12" s="43" t="n">
        <f aca="false">COUNTIFS(条文別整理表!$A$9:$A$135,$A12,条文別整理表!$D$9:$D$135,V$4,条文別整理表!$C$9:$C$135,"&gt;0")</f>
        <v>0</v>
      </c>
      <c r="W12" s="43" t="n">
        <f aca="false">COUNTIFS(条文別整理表!$A$9:$A$135,$A12,条文別整理表!$D$9:$D$135,W$4,条文別整理表!$C$9:$C$135,"&gt;0")</f>
        <v>0</v>
      </c>
      <c r="X12" s="43" t="n">
        <f aca="false">COUNTIFS(条文別整理表!$A$9:$A$135,$A12,条文別整理表!$D$9:$D$135,X$4,条文別整理表!$C$9:$C$135,"&gt;0")</f>
        <v>0</v>
      </c>
      <c r="Y12" s="43" t="n">
        <f aca="false">COUNTIFS(条文別整理表!$A$9:$A$135,$A12,条文別整理表!$D$9:$D$135,Y$4,条文別整理表!$C$9:$C$135,"&gt;0")</f>
        <v>0</v>
      </c>
      <c r="Z12" s="44" t="n">
        <f aca="false">SUM(D12:Y12)</f>
        <v>0</v>
      </c>
      <c r="AA12" s="44" t="n">
        <f aca="false">COUNTIF(D12:Y12,"&gt;0")</f>
        <v>0</v>
      </c>
    </row>
    <row r="13" customFormat="false" ht="25.35" hidden="false" customHeight="false" outlineLevel="0" collapsed="false">
      <c r="A13" s="41" t="s">
        <v>250</v>
      </c>
      <c r="B13" s="42" t="str">
        <f aca="false">INDEX(条文マスタ!$B$5:$B$24,MATCH($A13,条文マスタ!$A$5:$A$24,0))</f>
        <v>第2章 監督に関する現場技術業務</v>
      </c>
      <c r="C13" s="42" t="str">
        <f aca="false">INDEX(条文マスタ!$C$5:$C$24,MATCH($A13,条文マスタ!$A$5:$A$24,0))</f>
        <v>書類の確認</v>
      </c>
      <c r="D13" s="43" t="n">
        <f aca="false">COUNTIFS(条文別整理表!$A$9:$A$135,$A13,条文別整理表!$D$9:$D$135,D$4,条文別整理表!$C$9:$C$135,"&gt;0")</f>
        <v>0</v>
      </c>
      <c r="E13" s="43" t="n">
        <f aca="false">COUNTIFS(条文別整理表!$A$9:$A$135,$A13,条文別整理表!$D$9:$D$135,E$4,条文別整理表!$C$9:$C$135,"&gt;0")</f>
        <v>0</v>
      </c>
      <c r="F13" s="43" t="n">
        <f aca="false">COUNTIFS(条文別整理表!$A$9:$A$135,$A13,条文別整理表!$D$9:$D$135,F$4,条文別整理表!$C$9:$C$135,"&gt;0")</f>
        <v>0</v>
      </c>
      <c r="G13" s="43" t="n">
        <f aca="false">COUNTIFS(条文別整理表!$A$9:$A$135,$A13,条文別整理表!$D$9:$D$135,G$4,条文別整理表!$C$9:$C$135,"&gt;0")</f>
        <v>0</v>
      </c>
      <c r="H13" s="43" t="n">
        <f aca="false">COUNTIFS(条文別整理表!$A$9:$A$135,$A13,条文別整理表!$D$9:$D$135,H$4,条文別整理表!$C$9:$C$135,"&gt;0")</f>
        <v>0</v>
      </c>
      <c r="I13" s="43" t="n">
        <f aca="false">COUNTIFS(条文別整理表!$A$9:$A$135,$A13,条文別整理表!$D$9:$D$135,I$4,条文別整理表!$C$9:$C$135,"&gt;0")</f>
        <v>0</v>
      </c>
      <c r="J13" s="43" t="n">
        <f aca="false">COUNTIFS(条文別整理表!$A$9:$A$135,$A13,条文別整理表!$D$9:$D$135,J$4,条文別整理表!$C$9:$C$135,"&gt;0")</f>
        <v>0</v>
      </c>
      <c r="K13" s="43" t="n">
        <f aca="false">COUNTIFS(条文別整理表!$A$9:$A$135,$A13,条文別整理表!$D$9:$D$135,K$4,条文別整理表!$C$9:$C$135,"&gt;0")</f>
        <v>0</v>
      </c>
      <c r="L13" s="43" t="n">
        <f aca="false">COUNTIFS(条文別整理表!$A$9:$A$135,$A13,条文別整理表!$D$9:$D$135,L$4,条文別整理表!$C$9:$C$135,"&gt;0")</f>
        <v>0</v>
      </c>
      <c r="M13" s="43" t="n">
        <f aca="false">COUNTIFS(条文別整理表!$A$9:$A$135,$A13,条文別整理表!$D$9:$D$135,M$4,条文別整理表!$C$9:$C$135,"&gt;0")</f>
        <v>0</v>
      </c>
      <c r="N13" s="43" t="n">
        <f aca="false">COUNTIFS(条文別整理表!$A$9:$A$135,$A13,条文別整理表!$D$9:$D$135,N$4,条文別整理表!$C$9:$C$135,"&gt;0")</f>
        <v>0</v>
      </c>
      <c r="O13" s="43" t="n">
        <f aca="false">COUNTIFS(条文別整理表!$A$9:$A$135,$A13,条文別整理表!$D$9:$D$135,O$4,条文別整理表!$C$9:$C$135,"&gt;0")</f>
        <v>0</v>
      </c>
      <c r="P13" s="43" t="n">
        <f aca="false">COUNTIFS(条文別整理表!$A$9:$A$135,$A13,条文別整理表!$D$9:$D$135,P$4,条文別整理表!$C$9:$C$135,"&gt;0")</f>
        <v>0</v>
      </c>
      <c r="Q13" s="43" t="n">
        <f aca="false">COUNTIFS(条文別整理表!$A$9:$A$135,$A13,条文別整理表!$D$9:$D$135,Q$4,条文別整理表!$C$9:$C$135,"&gt;0")</f>
        <v>1</v>
      </c>
      <c r="R13" s="43" t="n">
        <f aca="false">COUNTIFS(条文別整理表!$A$9:$A$135,$A13,条文別整理表!$D$9:$D$135,R$4,条文別整理表!$C$9:$C$135,"&gt;0")</f>
        <v>0</v>
      </c>
      <c r="S13" s="43" t="n">
        <f aca="false">COUNTIFS(条文別整理表!$A$9:$A$135,$A13,条文別整理表!$D$9:$D$135,S$4,条文別整理表!$C$9:$C$135,"&gt;0")</f>
        <v>1</v>
      </c>
      <c r="T13" s="43" t="n">
        <f aca="false">COUNTIFS(条文別整理表!$A$9:$A$135,$A13,条文別整理表!$D$9:$D$135,T$4,条文別整理表!$C$9:$C$135,"&gt;0")</f>
        <v>0</v>
      </c>
      <c r="U13" s="43" t="n">
        <f aca="false">COUNTIFS(条文別整理表!$A$9:$A$135,$A13,条文別整理表!$D$9:$D$135,U$4,条文別整理表!$C$9:$C$135,"&gt;0")</f>
        <v>0</v>
      </c>
      <c r="V13" s="43" t="n">
        <f aca="false">COUNTIFS(条文別整理表!$A$9:$A$135,$A13,条文別整理表!$D$9:$D$135,V$4,条文別整理表!$C$9:$C$135,"&gt;0")</f>
        <v>0</v>
      </c>
      <c r="W13" s="43" t="n">
        <f aca="false">COUNTIFS(条文別整理表!$A$9:$A$135,$A13,条文別整理表!$D$9:$D$135,W$4,条文別整理表!$C$9:$C$135,"&gt;0")</f>
        <v>0</v>
      </c>
      <c r="X13" s="43" t="n">
        <f aca="false">COUNTIFS(条文別整理表!$A$9:$A$135,$A13,条文別整理表!$D$9:$D$135,X$4,条文別整理表!$C$9:$C$135,"&gt;0")</f>
        <v>0</v>
      </c>
      <c r="Y13" s="43" t="n">
        <f aca="false">COUNTIFS(条文別整理表!$A$9:$A$135,$A13,条文別整理表!$D$9:$D$135,Y$4,条文別整理表!$C$9:$C$135,"&gt;0")</f>
        <v>0</v>
      </c>
      <c r="Z13" s="44" t="n">
        <f aca="false">SUM(D13:Y13)</f>
        <v>2</v>
      </c>
      <c r="AA13" s="44" t="n">
        <f aca="false">COUNTIF(D13:Y13,"&gt;0")</f>
        <v>2</v>
      </c>
    </row>
    <row r="14" customFormat="false" ht="25.35" hidden="false" customHeight="false" outlineLevel="0" collapsed="false">
      <c r="A14" s="41" t="s">
        <v>251</v>
      </c>
      <c r="B14" s="42" t="str">
        <f aca="false">INDEX(条文マスタ!$B$5:$B$24,MATCH($A14,条文マスタ!$A$5:$A$24,0))</f>
        <v>第2章 監督に関する現場技術業務</v>
      </c>
      <c r="C14" s="42" t="str">
        <f aca="false">INDEX(条文マスタ!$C$5:$C$24,MATCH($A14,条文マスタ!$A$5:$A$24,0))</f>
        <v>立会</v>
      </c>
      <c r="D14" s="43" t="n">
        <f aca="false">COUNTIFS(条文別整理表!$A$9:$A$135,$A14,条文別整理表!$D$9:$D$135,D$4,条文別整理表!$C$9:$C$135,"&gt;0")</f>
        <v>0</v>
      </c>
      <c r="E14" s="43" t="n">
        <f aca="false">COUNTIFS(条文別整理表!$A$9:$A$135,$A14,条文別整理表!$D$9:$D$135,E$4,条文別整理表!$C$9:$C$135,"&gt;0")</f>
        <v>0</v>
      </c>
      <c r="F14" s="43" t="n">
        <f aca="false">COUNTIFS(条文別整理表!$A$9:$A$135,$A14,条文別整理表!$D$9:$D$135,F$4,条文別整理表!$C$9:$C$135,"&gt;0")</f>
        <v>0</v>
      </c>
      <c r="G14" s="43" t="n">
        <f aca="false">COUNTIFS(条文別整理表!$A$9:$A$135,$A14,条文別整理表!$D$9:$D$135,G$4,条文別整理表!$C$9:$C$135,"&gt;0")</f>
        <v>0</v>
      </c>
      <c r="H14" s="43" t="n">
        <f aca="false">COUNTIFS(条文別整理表!$A$9:$A$135,$A14,条文別整理表!$D$9:$D$135,H$4,条文別整理表!$C$9:$C$135,"&gt;0")</f>
        <v>1</v>
      </c>
      <c r="I14" s="43" t="n">
        <f aca="false">COUNTIFS(条文別整理表!$A$9:$A$135,$A14,条文別整理表!$D$9:$D$135,I$4,条文別整理表!$C$9:$C$135,"&gt;0")</f>
        <v>2</v>
      </c>
      <c r="J14" s="43" t="n">
        <f aca="false">COUNTIFS(条文別整理表!$A$9:$A$135,$A14,条文別整理表!$D$9:$D$135,J$4,条文別整理表!$C$9:$C$135,"&gt;0")</f>
        <v>0</v>
      </c>
      <c r="K14" s="43" t="n">
        <f aca="false">COUNTIFS(条文別整理表!$A$9:$A$135,$A14,条文別整理表!$D$9:$D$135,K$4,条文別整理表!$C$9:$C$135,"&gt;0")</f>
        <v>0</v>
      </c>
      <c r="L14" s="43" t="n">
        <f aca="false">COUNTIFS(条文別整理表!$A$9:$A$135,$A14,条文別整理表!$D$9:$D$135,L$4,条文別整理表!$C$9:$C$135,"&gt;0")</f>
        <v>0</v>
      </c>
      <c r="M14" s="43" t="n">
        <f aca="false">COUNTIFS(条文別整理表!$A$9:$A$135,$A14,条文別整理表!$D$9:$D$135,M$4,条文別整理表!$C$9:$C$135,"&gt;0")</f>
        <v>0</v>
      </c>
      <c r="N14" s="43" t="n">
        <f aca="false">COUNTIFS(条文別整理表!$A$9:$A$135,$A14,条文別整理表!$D$9:$D$135,N$4,条文別整理表!$C$9:$C$135,"&gt;0")</f>
        <v>0</v>
      </c>
      <c r="O14" s="43" t="n">
        <f aca="false">COUNTIFS(条文別整理表!$A$9:$A$135,$A14,条文別整理表!$D$9:$D$135,O$4,条文別整理表!$C$9:$C$135,"&gt;0")</f>
        <v>1</v>
      </c>
      <c r="P14" s="43" t="n">
        <f aca="false">COUNTIFS(条文別整理表!$A$9:$A$135,$A14,条文別整理表!$D$9:$D$135,P$4,条文別整理表!$C$9:$C$135,"&gt;0")</f>
        <v>1</v>
      </c>
      <c r="Q14" s="43" t="n">
        <f aca="false">COUNTIFS(条文別整理表!$A$9:$A$135,$A14,条文別整理表!$D$9:$D$135,Q$4,条文別整理表!$C$9:$C$135,"&gt;0")</f>
        <v>0</v>
      </c>
      <c r="R14" s="43" t="n">
        <f aca="false">COUNTIFS(条文別整理表!$A$9:$A$135,$A14,条文別整理表!$D$9:$D$135,R$4,条文別整理表!$C$9:$C$135,"&gt;0")</f>
        <v>0</v>
      </c>
      <c r="S14" s="43" t="n">
        <f aca="false">COUNTIFS(条文別整理表!$A$9:$A$135,$A14,条文別整理表!$D$9:$D$135,S$4,条文別整理表!$C$9:$C$135,"&gt;0")</f>
        <v>1</v>
      </c>
      <c r="T14" s="43" t="n">
        <f aca="false">COUNTIFS(条文別整理表!$A$9:$A$135,$A14,条文別整理表!$D$9:$D$135,T$4,条文別整理表!$C$9:$C$135,"&gt;0")</f>
        <v>2</v>
      </c>
      <c r="U14" s="43" t="n">
        <f aca="false">COUNTIFS(条文別整理表!$A$9:$A$135,$A14,条文別整理表!$D$9:$D$135,U$4,条文別整理表!$C$9:$C$135,"&gt;0")</f>
        <v>0</v>
      </c>
      <c r="V14" s="43" t="n">
        <f aca="false">COUNTIFS(条文別整理表!$A$9:$A$135,$A14,条文別整理表!$D$9:$D$135,V$4,条文別整理表!$C$9:$C$135,"&gt;0")</f>
        <v>0</v>
      </c>
      <c r="W14" s="43" t="n">
        <f aca="false">COUNTIFS(条文別整理表!$A$9:$A$135,$A14,条文別整理表!$D$9:$D$135,W$4,条文別整理表!$C$9:$C$135,"&gt;0")</f>
        <v>0</v>
      </c>
      <c r="X14" s="43" t="n">
        <f aca="false">COUNTIFS(条文別整理表!$A$9:$A$135,$A14,条文別整理表!$D$9:$D$135,X$4,条文別整理表!$C$9:$C$135,"&gt;0")</f>
        <v>0</v>
      </c>
      <c r="Y14" s="43" t="n">
        <f aca="false">COUNTIFS(条文別整理表!$A$9:$A$135,$A14,条文別整理表!$D$9:$D$135,Y$4,条文別整理表!$C$9:$C$135,"&gt;0")</f>
        <v>0</v>
      </c>
      <c r="Z14" s="44" t="n">
        <f aca="false">SUM(D14:Y14)</f>
        <v>8</v>
      </c>
      <c r="AA14" s="44" t="n">
        <f aca="false">COUNTIF(D14:Y14,"&gt;0")</f>
        <v>6</v>
      </c>
    </row>
    <row r="15" customFormat="false" ht="25.35" hidden="false" customHeight="false" outlineLevel="0" collapsed="false">
      <c r="A15" s="41" t="s">
        <v>252</v>
      </c>
      <c r="B15" s="42" t="str">
        <f aca="false">INDEX(条文マスタ!$B$5:$B$24,MATCH($A15,条文マスタ!$A$5:$A$24,0))</f>
        <v>第2章 監督に関する現場技術業務</v>
      </c>
      <c r="C15" s="42" t="str">
        <f aca="false">INDEX(条文マスタ!$C$5:$C$24,MATCH($A15,条文マスタ!$A$5:$A$24,0))</f>
        <v>検測</v>
      </c>
      <c r="D15" s="43" t="n">
        <f aca="false">COUNTIFS(条文別整理表!$A$9:$A$135,$A15,条文別整理表!$D$9:$D$135,D$4,条文別整理表!$C$9:$C$135,"&gt;0")</f>
        <v>0</v>
      </c>
      <c r="E15" s="43" t="n">
        <f aca="false">COUNTIFS(条文別整理表!$A$9:$A$135,$A15,条文別整理表!$D$9:$D$135,E$4,条文別整理表!$C$9:$C$135,"&gt;0")</f>
        <v>0</v>
      </c>
      <c r="F15" s="43" t="n">
        <f aca="false">COUNTIFS(条文別整理表!$A$9:$A$135,$A15,条文別整理表!$D$9:$D$135,F$4,条文別整理表!$C$9:$C$135,"&gt;0")</f>
        <v>0</v>
      </c>
      <c r="G15" s="43" t="n">
        <f aca="false">COUNTIFS(条文別整理表!$A$9:$A$135,$A15,条文別整理表!$D$9:$D$135,G$4,条文別整理表!$C$9:$C$135,"&gt;0")</f>
        <v>0</v>
      </c>
      <c r="H15" s="43" t="n">
        <f aca="false">COUNTIFS(条文別整理表!$A$9:$A$135,$A15,条文別整理表!$D$9:$D$135,H$4,条文別整理表!$C$9:$C$135,"&gt;0")</f>
        <v>0</v>
      </c>
      <c r="I15" s="43" t="n">
        <f aca="false">COUNTIFS(条文別整理表!$A$9:$A$135,$A15,条文別整理表!$D$9:$D$135,I$4,条文別整理表!$C$9:$C$135,"&gt;0")</f>
        <v>0</v>
      </c>
      <c r="J15" s="43" t="n">
        <f aca="false">COUNTIFS(条文別整理表!$A$9:$A$135,$A15,条文別整理表!$D$9:$D$135,J$4,条文別整理表!$C$9:$C$135,"&gt;0")</f>
        <v>0</v>
      </c>
      <c r="K15" s="43" t="n">
        <f aca="false">COUNTIFS(条文別整理表!$A$9:$A$135,$A15,条文別整理表!$D$9:$D$135,K$4,条文別整理表!$C$9:$C$135,"&gt;0")</f>
        <v>0</v>
      </c>
      <c r="L15" s="43" t="n">
        <f aca="false">COUNTIFS(条文別整理表!$A$9:$A$135,$A15,条文別整理表!$D$9:$D$135,L$4,条文別整理表!$C$9:$C$135,"&gt;0")</f>
        <v>0</v>
      </c>
      <c r="M15" s="43" t="n">
        <f aca="false">COUNTIFS(条文別整理表!$A$9:$A$135,$A15,条文別整理表!$D$9:$D$135,M$4,条文別整理表!$C$9:$C$135,"&gt;0")</f>
        <v>0</v>
      </c>
      <c r="N15" s="43" t="n">
        <f aca="false">COUNTIFS(条文別整理表!$A$9:$A$135,$A15,条文別整理表!$D$9:$D$135,N$4,条文別整理表!$C$9:$C$135,"&gt;0")</f>
        <v>0</v>
      </c>
      <c r="O15" s="43" t="n">
        <f aca="false">COUNTIFS(条文別整理表!$A$9:$A$135,$A15,条文別整理表!$D$9:$D$135,O$4,条文別整理表!$C$9:$C$135,"&gt;0")</f>
        <v>0</v>
      </c>
      <c r="P15" s="43" t="n">
        <f aca="false">COUNTIFS(条文別整理表!$A$9:$A$135,$A15,条文別整理表!$D$9:$D$135,P$4,条文別整理表!$C$9:$C$135,"&gt;0")</f>
        <v>0</v>
      </c>
      <c r="Q15" s="43" t="n">
        <f aca="false">COUNTIFS(条文別整理表!$A$9:$A$135,$A15,条文別整理表!$D$9:$D$135,Q$4,条文別整理表!$C$9:$C$135,"&gt;0")</f>
        <v>0</v>
      </c>
      <c r="R15" s="43" t="n">
        <f aca="false">COUNTIFS(条文別整理表!$A$9:$A$135,$A15,条文別整理表!$D$9:$D$135,R$4,条文別整理表!$C$9:$C$135,"&gt;0")</f>
        <v>0</v>
      </c>
      <c r="S15" s="43" t="n">
        <f aca="false">COUNTIFS(条文別整理表!$A$9:$A$135,$A15,条文別整理表!$D$9:$D$135,S$4,条文別整理表!$C$9:$C$135,"&gt;0")</f>
        <v>0</v>
      </c>
      <c r="T15" s="43" t="n">
        <f aca="false">COUNTIFS(条文別整理表!$A$9:$A$135,$A15,条文別整理表!$D$9:$D$135,T$4,条文別整理表!$C$9:$C$135,"&gt;0")</f>
        <v>0</v>
      </c>
      <c r="U15" s="43" t="n">
        <f aca="false">COUNTIFS(条文別整理表!$A$9:$A$135,$A15,条文別整理表!$D$9:$D$135,U$4,条文別整理表!$C$9:$C$135,"&gt;0")</f>
        <v>0</v>
      </c>
      <c r="V15" s="43" t="n">
        <f aca="false">COUNTIFS(条文別整理表!$A$9:$A$135,$A15,条文別整理表!$D$9:$D$135,V$4,条文別整理表!$C$9:$C$135,"&gt;0")</f>
        <v>0</v>
      </c>
      <c r="W15" s="43" t="n">
        <f aca="false">COUNTIFS(条文別整理表!$A$9:$A$135,$A15,条文別整理表!$D$9:$D$135,W$4,条文別整理表!$C$9:$C$135,"&gt;0")</f>
        <v>0</v>
      </c>
      <c r="X15" s="43" t="n">
        <f aca="false">COUNTIFS(条文別整理表!$A$9:$A$135,$A15,条文別整理表!$D$9:$D$135,X$4,条文別整理表!$C$9:$C$135,"&gt;0")</f>
        <v>0</v>
      </c>
      <c r="Y15" s="43" t="n">
        <f aca="false">COUNTIFS(条文別整理表!$A$9:$A$135,$A15,条文別整理表!$D$9:$D$135,Y$4,条文別整理表!$C$9:$C$135,"&gt;0")</f>
        <v>0</v>
      </c>
      <c r="Z15" s="44" t="n">
        <f aca="false">SUM(D15:Y15)</f>
        <v>0</v>
      </c>
      <c r="AA15" s="44" t="n">
        <f aca="false">COUNTIF(D15:Y15,"&gt;0")</f>
        <v>0</v>
      </c>
    </row>
    <row r="16" customFormat="false" ht="25.35" hidden="false" customHeight="false" outlineLevel="0" collapsed="false">
      <c r="A16" s="41" t="s">
        <v>253</v>
      </c>
      <c r="B16" s="42" t="str">
        <f aca="false">INDEX(条文マスタ!$B$5:$B$24,MATCH($A16,条文マスタ!$A$5:$A$24,0))</f>
        <v>第2章 監督に関する現場技術業務</v>
      </c>
      <c r="C16" s="42" t="str">
        <f aca="false">INDEX(条文マスタ!$C$5:$C$24,MATCH($A16,条文マスタ!$A$5:$A$24,0))</f>
        <v>材料検査</v>
      </c>
      <c r="D16" s="43" t="n">
        <f aca="false">COUNTIFS(条文別整理表!$A$9:$A$135,$A16,条文別整理表!$D$9:$D$135,D$4,条文別整理表!$C$9:$C$135,"&gt;0")</f>
        <v>0</v>
      </c>
      <c r="E16" s="43" t="n">
        <f aca="false">COUNTIFS(条文別整理表!$A$9:$A$135,$A16,条文別整理表!$D$9:$D$135,E$4,条文別整理表!$C$9:$C$135,"&gt;0")</f>
        <v>0</v>
      </c>
      <c r="F16" s="43" t="n">
        <f aca="false">COUNTIFS(条文別整理表!$A$9:$A$135,$A16,条文別整理表!$D$9:$D$135,F$4,条文別整理表!$C$9:$C$135,"&gt;0")</f>
        <v>0</v>
      </c>
      <c r="G16" s="43" t="n">
        <f aca="false">COUNTIFS(条文別整理表!$A$9:$A$135,$A16,条文別整理表!$D$9:$D$135,G$4,条文別整理表!$C$9:$C$135,"&gt;0")</f>
        <v>0</v>
      </c>
      <c r="H16" s="43" t="n">
        <f aca="false">COUNTIFS(条文別整理表!$A$9:$A$135,$A16,条文別整理表!$D$9:$D$135,H$4,条文別整理表!$C$9:$C$135,"&gt;0")</f>
        <v>0</v>
      </c>
      <c r="I16" s="43" t="n">
        <f aca="false">COUNTIFS(条文別整理表!$A$9:$A$135,$A16,条文別整理表!$D$9:$D$135,I$4,条文別整理表!$C$9:$C$135,"&gt;0")</f>
        <v>0</v>
      </c>
      <c r="J16" s="43" t="n">
        <f aca="false">COUNTIFS(条文別整理表!$A$9:$A$135,$A16,条文別整理表!$D$9:$D$135,J$4,条文別整理表!$C$9:$C$135,"&gt;0")</f>
        <v>0</v>
      </c>
      <c r="K16" s="43" t="n">
        <f aca="false">COUNTIFS(条文別整理表!$A$9:$A$135,$A16,条文別整理表!$D$9:$D$135,K$4,条文別整理表!$C$9:$C$135,"&gt;0")</f>
        <v>0</v>
      </c>
      <c r="L16" s="43" t="n">
        <f aca="false">COUNTIFS(条文別整理表!$A$9:$A$135,$A16,条文別整理表!$D$9:$D$135,L$4,条文別整理表!$C$9:$C$135,"&gt;0")</f>
        <v>0</v>
      </c>
      <c r="M16" s="43" t="n">
        <f aca="false">COUNTIFS(条文別整理表!$A$9:$A$135,$A16,条文別整理表!$D$9:$D$135,M$4,条文別整理表!$C$9:$C$135,"&gt;0")</f>
        <v>0</v>
      </c>
      <c r="N16" s="43" t="n">
        <f aca="false">COUNTIFS(条文別整理表!$A$9:$A$135,$A16,条文別整理表!$D$9:$D$135,N$4,条文別整理表!$C$9:$C$135,"&gt;0")</f>
        <v>0</v>
      </c>
      <c r="O16" s="43" t="n">
        <f aca="false">COUNTIFS(条文別整理表!$A$9:$A$135,$A16,条文別整理表!$D$9:$D$135,O$4,条文別整理表!$C$9:$C$135,"&gt;0")</f>
        <v>0</v>
      </c>
      <c r="P16" s="43" t="n">
        <f aca="false">COUNTIFS(条文別整理表!$A$9:$A$135,$A16,条文別整理表!$D$9:$D$135,P$4,条文別整理表!$C$9:$C$135,"&gt;0")</f>
        <v>0</v>
      </c>
      <c r="Q16" s="43" t="n">
        <f aca="false">COUNTIFS(条文別整理表!$A$9:$A$135,$A16,条文別整理表!$D$9:$D$135,Q$4,条文別整理表!$C$9:$C$135,"&gt;0")</f>
        <v>0</v>
      </c>
      <c r="R16" s="43" t="n">
        <f aca="false">COUNTIFS(条文別整理表!$A$9:$A$135,$A16,条文別整理表!$D$9:$D$135,R$4,条文別整理表!$C$9:$C$135,"&gt;0")</f>
        <v>0</v>
      </c>
      <c r="S16" s="43" t="n">
        <f aca="false">COUNTIFS(条文別整理表!$A$9:$A$135,$A16,条文別整理表!$D$9:$D$135,S$4,条文別整理表!$C$9:$C$135,"&gt;0")</f>
        <v>0</v>
      </c>
      <c r="T16" s="43" t="n">
        <f aca="false">COUNTIFS(条文別整理表!$A$9:$A$135,$A16,条文別整理表!$D$9:$D$135,T$4,条文別整理表!$C$9:$C$135,"&gt;0")</f>
        <v>0</v>
      </c>
      <c r="U16" s="43" t="n">
        <f aca="false">COUNTIFS(条文別整理表!$A$9:$A$135,$A16,条文別整理表!$D$9:$D$135,U$4,条文別整理表!$C$9:$C$135,"&gt;0")</f>
        <v>0</v>
      </c>
      <c r="V16" s="43" t="n">
        <f aca="false">COUNTIFS(条文別整理表!$A$9:$A$135,$A16,条文別整理表!$D$9:$D$135,V$4,条文別整理表!$C$9:$C$135,"&gt;0")</f>
        <v>0</v>
      </c>
      <c r="W16" s="43" t="n">
        <f aca="false">COUNTIFS(条文別整理表!$A$9:$A$135,$A16,条文別整理表!$D$9:$D$135,W$4,条文別整理表!$C$9:$C$135,"&gt;0")</f>
        <v>0</v>
      </c>
      <c r="X16" s="43" t="n">
        <f aca="false">COUNTIFS(条文別整理表!$A$9:$A$135,$A16,条文別整理表!$D$9:$D$135,X$4,条文別整理表!$C$9:$C$135,"&gt;0")</f>
        <v>0</v>
      </c>
      <c r="Y16" s="43" t="n">
        <f aca="false">COUNTIFS(条文別整理表!$A$9:$A$135,$A16,条文別整理表!$D$9:$D$135,Y$4,条文別整理表!$C$9:$C$135,"&gt;0")</f>
        <v>0</v>
      </c>
      <c r="Z16" s="44" t="n">
        <f aca="false">SUM(D16:Y16)</f>
        <v>0</v>
      </c>
      <c r="AA16" s="44" t="n">
        <f aca="false">COUNTIF(D16:Y16,"&gt;0")</f>
        <v>0</v>
      </c>
    </row>
    <row r="17" customFormat="false" ht="25.35" hidden="false" customHeight="false" outlineLevel="0" collapsed="false">
      <c r="A17" s="41" t="s">
        <v>254</v>
      </c>
      <c r="B17" s="42" t="str">
        <f aca="false">INDEX(条文マスタ!$B$5:$B$24,MATCH($A17,条文マスタ!$A$5:$A$24,0))</f>
        <v>第2章 監督に関する現場技術業務</v>
      </c>
      <c r="C17" s="42" t="str">
        <f aca="false">INDEX(条文マスタ!$C$5:$C$24,MATCH($A17,条文マスタ!$A$5:$A$24,0))</f>
        <v>工程管理</v>
      </c>
      <c r="D17" s="43" t="n">
        <f aca="false">COUNTIFS(条文別整理表!$A$9:$A$135,$A17,条文別整理表!$D$9:$D$135,D$4,条文別整理表!$C$9:$C$135,"&gt;0")</f>
        <v>1</v>
      </c>
      <c r="E17" s="43" t="n">
        <f aca="false">COUNTIFS(条文別整理表!$A$9:$A$135,$A17,条文別整理表!$D$9:$D$135,E$4,条文別整理表!$C$9:$C$135,"&gt;0")</f>
        <v>0</v>
      </c>
      <c r="F17" s="43" t="n">
        <f aca="false">COUNTIFS(条文別整理表!$A$9:$A$135,$A17,条文別整理表!$D$9:$D$135,F$4,条文別整理表!$C$9:$C$135,"&gt;0")</f>
        <v>0</v>
      </c>
      <c r="G17" s="43" t="n">
        <f aca="false">COUNTIFS(条文別整理表!$A$9:$A$135,$A17,条文別整理表!$D$9:$D$135,G$4,条文別整理表!$C$9:$C$135,"&gt;0")</f>
        <v>0</v>
      </c>
      <c r="H17" s="43" t="n">
        <f aca="false">COUNTIFS(条文別整理表!$A$9:$A$135,$A17,条文別整理表!$D$9:$D$135,H$4,条文別整理表!$C$9:$C$135,"&gt;0")</f>
        <v>0</v>
      </c>
      <c r="I17" s="43" t="n">
        <f aca="false">COUNTIFS(条文別整理表!$A$9:$A$135,$A17,条文別整理表!$D$9:$D$135,I$4,条文別整理表!$C$9:$C$135,"&gt;0")</f>
        <v>0</v>
      </c>
      <c r="J17" s="43" t="n">
        <f aca="false">COUNTIFS(条文別整理表!$A$9:$A$135,$A17,条文別整理表!$D$9:$D$135,J$4,条文別整理表!$C$9:$C$135,"&gt;0")</f>
        <v>0</v>
      </c>
      <c r="K17" s="43" t="n">
        <f aca="false">COUNTIFS(条文別整理表!$A$9:$A$135,$A17,条文別整理表!$D$9:$D$135,K$4,条文別整理表!$C$9:$C$135,"&gt;0")</f>
        <v>1</v>
      </c>
      <c r="L17" s="43" t="n">
        <f aca="false">COUNTIFS(条文別整理表!$A$9:$A$135,$A17,条文別整理表!$D$9:$D$135,L$4,条文別整理表!$C$9:$C$135,"&gt;0")</f>
        <v>0</v>
      </c>
      <c r="M17" s="43" t="n">
        <f aca="false">COUNTIFS(条文別整理表!$A$9:$A$135,$A17,条文別整理表!$D$9:$D$135,M$4,条文別整理表!$C$9:$C$135,"&gt;0")</f>
        <v>0</v>
      </c>
      <c r="N17" s="43" t="n">
        <f aca="false">COUNTIFS(条文別整理表!$A$9:$A$135,$A17,条文別整理表!$D$9:$D$135,N$4,条文別整理表!$C$9:$C$135,"&gt;0")</f>
        <v>0</v>
      </c>
      <c r="O17" s="43" t="n">
        <f aca="false">COUNTIFS(条文別整理表!$A$9:$A$135,$A17,条文別整理表!$D$9:$D$135,O$4,条文別整理表!$C$9:$C$135,"&gt;0")</f>
        <v>0</v>
      </c>
      <c r="P17" s="43" t="n">
        <f aca="false">COUNTIFS(条文別整理表!$A$9:$A$135,$A17,条文別整理表!$D$9:$D$135,P$4,条文別整理表!$C$9:$C$135,"&gt;0")</f>
        <v>0</v>
      </c>
      <c r="Q17" s="43" t="n">
        <f aca="false">COUNTIFS(条文別整理表!$A$9:$A$135,$A17,条文別整理表!$D$9:$D$135,Q$4,条文別整理表!$C$9:$C$135,"&gt;0")</f>
        <v>0</v>
      </c>
      <c r="R17" s="43" t="n">
        <f aca="false">COUNTIFS(条文別整理表!$A$9:$A$135,$A17,条文別整理表!$D$9:$D$135,R$4,条文別整理表!$C$9:$C$135,"&gt;0")</f>
        <v>1</v>
      </c>
      <c r="S17" s="43" t="n">
        <f aca="false">COUNTIFS(条文別整理表!$A$9:$A$135,$A17,条文別整理表!$D$9:$D$135,S$4,条文別整理表!$C$9:$C$135,"&gt;0")</f>
        <v>0</v>
      </c>
      <c r="T17" s="43" t="n">
        <f aca="false">COUNTIFS(条文別整理表!$A$9:$A$135,$A17,条文別整理表!$D$9:$D$135,T$4,条文別整理表!$C$9:$C$135,"&gt;0")</f>
        <v>0</v>
      </c>
      <c r="U17" s="43" t="n">
        <f aca="false">COUNTIFS(条文別整理表!$A$9:$A$135,$A17,条文別整理表!$D$9:$D$135,U$4,条文別整理表!$C$9:$C$135,"&gt;0")</f>
        <v>0</v>
      </c>
      <c r="V17" s="43" t="n">
        <f aca="false">COUNTIFS(条文別整理表!$A$9:$A$135,$A17,条文別整理表!$D$9:$D$135,V$4,条文別整理表!$C$9:$C$135,"&gt;0")</f>
        <v>0</v>
      </c>
      <c r="W17" s="43" t="n">
        <f aca="false">COUNTIFS(条文別整理表!$A$9:$A$135,$A17,条文別整理表!$D$9:$D$135,W$4,条文別整理表!$C$9:$C$135,"&gt;0")</f>
        <v>0</v>
      </c>
      <c r="X17" s="43" t="n">
        <f aca="false">COUNTIFS(条文別整理表!$A$9:$A$135,$A17,条文別整理表!$D$9:$D$135,X$4,条文別整理表!$C$9:$C$135,"&gt;0")</f>
        <v>0</v>
      </c>
      <c r="Y17" s="43" t="n">
        <f aca="false">COUNTIFS(条文別整理表!$A$9:$A$135,$A17,条文別整理表!$D$9:$D$135,Y$4,条文別整理表!$C$9:$C$135,"&gt;0")</f>
        <v>0</v>
      </c>
      <c r="Z17" s="44" t="n">
        <f aca="false">SUM(D17:Y17)</f>
        <v>3</v>
      </c>
      <c r="AA17" s="44" t="n">
        <f aca="false">COUNTIF(D17:Y17,"&gt;0")</f>
        <v>3</v>
      </c>
    </row>
    <row r="18" customFormat="false" ht="25.35" hidden="false" customHeight="false" outlineLevel="0" collapsed="false">
      <c r="A18" s="41" t="s">
        <v>255</v>
      </c>
      <c r="B18" s="42" t="str">
        <f aca="false">INDEX(条文マスタ!$B$5:$B$24,MATCH($A18,条文マスタ!$A$5:$A$24,0))</f>
        <v>第2章 監督に関する現場技術業務</v>
      </c>
      <c r="C18" s="42" t="str">
        <f aca="false">INDEX(条文マスタ!$C$5:$C$24,MATCH($A18,条文マスタ!$A$5:$A$24,0))</f>
        <v>品質管理</v>
      </c>
      <c r="D18" s="43" t="n">
        <f aca="false">COUNTIFS(条文別整理表!$A$9:$A$135,$A18,条文別整理表!$D$9:$D$135,D$4,条文別整理表!$C$9:$C$135,"&gt;0")</f>
        <v>0</v>
      </c>
      <c r="E18" s="43" t="n">
        <f aca="false">COUNTIFS(条文別整理表!$A$9:$A$135,$A18,条文別整理表!$D$9:$D$135,E$4,条文別整理表!$C$9:$C$135,"&gt;0")</f>
        <v>0</v>
      </c>
      <c r="F18" s="43" t="n">
        <f aca="false">COUNTIFS(条文別整理表!$A$9:$A$135,$A18,条文別整理表!$D$9:$D$135,F$4,条文別整理表!$C$9:$C$135,"&gt;0")</f>
        <v>0</v>
      </c>
      <c r="G18" s="43" t="n">
        <f aca="false">COUNTIFS(条文別整理表!$A$9:$A$135,$A18,条文別整理表!$D$9:$D$135,G$4,条文別整理表!$C$9:$C$135,"&gt;0")</f>
        <v>0</v>
      </c>
      <c r="H18" s="43" t="n">
        <f aca="false">COUNTIFS(条文別整理表!$A$9:$A$135,$A18,条文別整理表!$D$9:$D$135,H$4,条文別整理表!$C$9:$C$135,"&gt;0")</f>
        <v>0</v>
      </c>
      <c r="I18" s="43" t="n">
        <f aca="false">COUNTIFS(条文別整理表!$A$9:$A$135,$A18,条文別整理表!$D$9:$D$135,I$4,条文別整理表!$C$9:$C$135,"&gt;0")</f>
        <v>0</v>
      </c>
      <c r="J18" s="43" t="n">
        <f aca="false">COUNTIFS(条文別整理表!$A$9:$A$135,$A18,条文別整理表!$D$9:$D$135,J$4,条文別整理表!$C$9:$C$135,"&gt;0")</f>
        <v>0</v>
      </c>
      <c r="K18" s="43" t="n">
        <f aca="false">COUNTIFS(条文別整理表!$A$9:$A$135,$A18,条文別整理表!$D$9:$D$135,K$4,条文別整理表!$C$9:$C$135,"&gt;0")</f>
        <v>0</v>
      </c>
      <c r="L18" s="43" t="n">
        <f aca="false">COUNTIFS(条文別整理表!$A$9:$A$135,$A18,条文別整理表!$D$9:$D$135,L$4,条文別整理表!$C$9:$C$135,"&gt;0")</f>
        <v>0</v>
      </c>
      <c r="M18" s="43" t="n">
        <f aca="false">COUNTIFS(条文別整理表!$A$9:$A$135,$A18,条文別整理表!$D$9:$D$135,M$4,条文別整理表!$C$9:$C$135,"&gt;0")</f>
        <v>0</v>
      </c>
      <c r="N18" s="43" t="n">
        <f aca="false">COUNTIFS(条文別整理表!$A$9:$A$135,$A18,条文別整理表!$D$9:$D$135,N$4,条文別整理表!$C$9:$C$135,"&gt;0")</f>
        <v>0</v>
      </c>
      <c r="O18" s="43" t="n">
        <f aca="false">COUNTIFS(条文別整理表!$A$9:$A$135,$A18,条文別整理表!$D$9:$D$135,O$4,条文別整理表!$C$9:$C$135,"&gt;0")</f>
        <v>0</v>
      </c>
      <c r="P18" s="43" t="n">
        <f aca="false">COUNTIFS(条文別整理表!$A$9:$A$135,$A18,条文別整理表!$D$9:$D$135,P$4,条文別整理表!$C$9:$C$135,"&gt;0")</f>
        <v>0</v>
      </c>
      <c r="Q18" s="43" t="n">
        <f aca="false">COUNTIFS(条文別整理表!$A$9:$A$135,$A18,条文別整理表!$D$9:$D$135,Q$4,条文別整理表!$C$9:$C$135,"&gt;0")</f>
        <v>0</v>
      </c>
      <c r="R18" s="43" t="n">
        <f aca="false">COUNTIFS(条文別整理表!$A$9:$A$135,$A18,条文別整理表!$D$9:$D$135,R$4,条文別整理表!$C$9:$C$135,"&gt;0")</f>
        <v>0</v>
      </c>
      <c r="S18" s="43" t="n">
        <f aca="false">COUNTIFS(条文別整理表!$A$9:$A$135,$A18,条文別整理表!$D$9:$D$135,S$4,条文別整理表!$C$9:$C$135,"&gt;0")</f>
        <v>0</v>
      </c>
      <c r="T18" s="43" t="n">
        <f aca="false">COUNTIFS(条文別整理表!$A$9:$A$135,$A18,条文別整理表!$D$9:$D$135,T$4,条文別整理表!$C$9:$C$135,"&gt;0")</f>
        <v>0</v>
      </c>
      <c r="U18" s="43" t="n">
        <f aca="false">COUNTIFS(条文別整理表!$A$9:$A$135,$A18,条文別整理表!$D$9:$D$135,U$4,条文別整理表!$C$9:$C$135,"&gt;0")</f>
        <v>0</v>
      </c>
      <c r="V18" s="43" t="n">
        <f aca="false">COUNTIFS(条文別整理表!$A$9:$A$135,$A18,条文別整理表!$D$9:$D$135,V$4,条文別整理表!$C$9:$C$135,"&gt;0")</f>
        <v>0</v>
      </c>
      <c r="W18" s="43" t="n">
        <f aca="false">COUNTIFS(条文別整理表!$A$9:$A$135,$A18,条文別整理表!$D$9:$D$135,W$4,条文別整理表!$C$9:$C$135,"&gt;0")</f>
        <v>0</v>
      </c>
      <c r="X18" s="43" t="n">
        <f aca="false">COUNTIFS(条文別整理表!$A$9:$A$135,$A18,条文別整理表!$D$9:$D$135,X$4,条文別整理表!$C$9:$C$135,"&gt;0")</f>
        <v>0</v>
      </c>
      <c r="Y18" s="43" t="n">
        <f aca="false">COUNTIFS(条文別整理表!$A$9:$A$135,$A18,条文別整理表!$D$9:$D$135,Y$4,条文別整理表!$C$9:$C$135,"&gt;0")</f>
        <v>0</v>
      </c>
      <c r="Z18" s="44" t="n">
        <f aca="false">SUM(D18:Y18)</f>
        <v>0</v>
      </c>
      <c r="AA18" s="44" t="n">
        <f aca="false">COUNTIF(D18:Y18,"&gt;0")</f>
        <v>0</v>
      </c>
    </row>
    <row r="19" customFormat="false" ht="25.35" hidden="false" customHeight="false" outlineLevel="0" collapsed="false">
      <c r="A19" s="41" t="s">
        <v>256</v>
      </c>
      <c r="B19" s="42" t="str">
        <f aca="false">INDEX(条文マスタ!$B$5:$B$24,MATCH($A19,条文マスタ!$A$5:$A$24,0))</f>
        <v>第2章 監督に関する現場技術業務</v>
      </c>
      <c r="C19" s="42" t="str">
        <f aca="false">INDEX(条文マスタ!$C$5:$C$24,MATCH($A19,条文マスタ!$A$5:$A$24,0))</f>
        <v>図面と現地の不一致等</v>
      </c>
      <c r="D19" s="43" t="n">
        <f aca="false">COUNTIFS(条文別整理表!$A$9:$A$135,$A19,条文別整理表!$D$9:$D$135,D$4,条文別整理表!$C$9:$C$135,"&gt;0")</f>
        <v>0</v>
      </c>
      <c r="E19" s="43" t="n">
        <f aca="false">COUNTIFS(条文別整理表!$A$9:$A$135,$A19,条文別整理表!$D$9:$D$135,E$4,条文別整理表!$C$9:$C$135,"&gt;0")</f>
        <v>0</v>
      </c>
      <c r="F19" s="43" t="n">
        <f aca="false">COUNTIFS(条文別整理表!$A$9:$A$135,$A19,条文別整理表!$D$9:$D$135,F$4,条文別整理表!$C$9:$C$135,"&gt;0")</f>
        <v>0</v>
      </c>
      <c r="G19" s="43" t="n">
        <f aca="false">COUNTIFS(条文別整理表!$A$9:$A$135,$A19,条文別整理表!$D$9:$D$135,G$4,条文別整理表!$C$9:$C$135,"&gt;0")</f>
        <v>0</v>
      </c>
      <c r="H19" s="43" t="n">
        <f aca="false">COUNTIFS(条文別整理表!$A$9:$A$135,$A19,条文別整理表!$D$9:$D$135,H$4,条文別整理表!$C$9:$C$135,"&gt;0")</f>
        <v>0</v>
      </c>
      <c r="I19" s="43" t="n">
        <f aca="false">COUNTIFS(条文別整理表!$A$9:$A$135,$A19,条文別整理表!$D$9:$D$135,I$4,条文別整理表!$C$9:$C$135,"&gt;0")</f>
        <v>0</v>
      </c>
      <c r="J19" s="43" t="n">
        <f aca="false">COUNTIFS(条文別整理表!$A$9:$A$135,$A19,条文別整理表!$D$9:$D$135,J$4,条文別整理表!$C$9:$C$135,"&gt;0")</f>
        <v>0</v>
      </c>
      <c r="K19" s="43" t="n">
        <f aca="false">COUNTIFS(条文別整理表!$A$9:$A$135,$A19,条文別整理表!$D$9:$D$135,K$4,条文別整理表!$C$9:$C$135,"&gt;0")</f>
        <v>0</v>
      </c>
      <c r="L19" s="43" t="n">
        <f aca="false">COUNTIFS(条文別整理表!$A$9:$A$135,$A19,条文別整理表!$D$9:$D$135,L$4,条文別整理表!$C$9:$C$135,"&gt;0")</f>
        <v>0</v>
      </c>
      <c r="M19" s="43" t="n">
        <f aca="false">COUNTIFS(条文別整理表!$A$9:$A$135,$A19,条文別整理表!$D$9:$D$135,M$4,条文別整理表!$C$9:$C$135,"&gt;0")</f>
        <v>0</v>
      </c>
      <c r="N19" s="43" t="n">
        <f aca="false">COUNTIFS(条文別整理表!$A$9:$A$135,$A19,条文別整理表!$D$9:$D$135,N$4,条文別整理表!$C$9:$C$135,"&gt;0")</f>
        <v>0</v>
      </c>
      <c r="O19" s="43" t="n">
        <f aca="false">COUNTIFS(条文別整理表!$A$9:$A$135,$A19,条文別整理表!$D$9:$D$135,O$4,条文別整理表!$C$9:$C$135,"&gt;0")</f>
        <v>0</v>
      </c>
      <c r="P19" s="43" t="n">
        <f aca="false">COUNTIFS(条文別整理表!$A$9:$A$135,$A19,条文別整理表!$D$9:$D$135,P$4,条文別整理表!$C$9:$C$135,"&gt;0")</f>
        <v>0</v>
      </c>
      <c r="Q19" s="43" t="n">
        <f aca="false">COUNTIFS(条文別整理表!$A$9:$A$135,$A19,条文別整理表!$D$9:$D$135,Q$4,条文別整理表!$C$9:$C$135,"&gt;0")</f>
        <v>0</v>
      </c>
      <c r="R19" s="43" t="n">
        <f aca="false">COUNTIFS(条文別整理表!$A$9:$A$135,$A19,条文別整理表!$D$9:$D$135,R$4,条文別整理表!$C$9:$C$135,"&gt;0")</f>
        <v>0</v>
      </c>
      <c r="S19" s="43" t="n">
        <f aca="false">COUNTIFS(条文別整理表!$A$9:$A$135,$A19,条文別整理表!$D$9:$D$135,S$4,条文別整理表!$C$9:$C$135,"&gt;0")</f>
        <v>0</v>
      </c>
      <c r="T19" s="43" t="n">
        <f aca="false">COUNTIFS(条文別整理表!$A$9:$A$135,$A19,条文別整理表!$D$9:$D$135,T$4,条文別整理表!$C$9:$C$135,"&gt;0")</f>
        <v>0</v>
      </c>
      <c r="U19" s="43" t="n">
        <f aca="false">COUNTIFS(条文別整理表!$A$9:$A$135,$A19,条文別整理表!$D$9:$D$135,U$4,条文別整理表!$C$9:$C$135,"&gt;0")</f>
        <v>0</v>
      </c>
      <c r="V19" s="43" t="n">
        <f aca="false">COUNTIFS(条文別整理表!$A$9:$A$135,$A19,条文別整理表!$D$9:$D$135,V$4,条文別整理表!$C$9:$C$135,"&gt;0")</f>
        <v>0</v>
      </c>
      <c r="W19" s="43" t="n">
        <f aca="false">COUNTIFS(条文別整理表!$A$9:$A$135,$A19,条文別整理表!$D$9:$D$135,W$4,条文別整理表!$C$9:$C$135,"&gt;0")</f>
        <v>0</v>
      </c>
      <c r="X19" s="43" t="n">
        <f aca="false">COUNTIFS(条文別整理表!$A$9:$A$135,$A19,条文別整理表!$D$9:$D$135,X$4,条文別整理表!$C$9:$C$135,"&gt;0")</f>
        <v>0</v>
      </c>
      <c r="Y19" s="43" t="n">
        <f aca="false">COUNTIFS(条文別整理表!$A$9:$A$135,$A19,条文別整理表!$D$9:$D$135,Y$4,条文別整理表!$C$9:$C$135,"&gt;0")</f>
        <v>0</v>
      </c>
      <c r="Z19" s="44" t="n">
        <f aca="false">SUM(D19:Y19)</f>
        <v>0</v>
      </c>
      <c r="AA19" s="44" t="n">
        <f aca="false">COUNTIF(D19:Y19,"&gt;0")</f>
        <v>0</v>
      </c>
    </row>
    <row r="20" customFormat="false" ht="25.35" hidden="false" customHeight="false" outlineLevel="0" collapsed="false">
      <c r="A20" s="41" t="s">
        <v>257</v>
      </c>
      <c r="B20" s="42" t="str">
        <f aca="false">INDEX(条文マスタ!$B$5:$B$24,MATCH($A20,条文マスタ!$A$5:$A$24,0))</f>
        <v>第2章 監督に関する現場技術業務</v>
      </c>
      <c r="C20" s="42" t="str">
        <f aca="false">INDEX(条文マスタ!$C$5:$C$24,MATCH($A20,条文マスタ!$A$5:$A$24,0))</f>
        <v>検査の立会</v>
      </c>
      <c r="D20" s="43" t="n">
        <f aca="false">COUNTIFS(条文別整理表!$A$9:$A$135,$A20,条文別整理表!$D$9:$D$135,D$4,条文別整理表!$C$9:$C$135,"&gt;0")</f>
        <v>0</v>
      </c>
      <c r="E20" s="43" t="n">
        <f aca="false">COUNTIFS(条文別整理表!$A$9:$A$135,$A20,条文別整理表!$D$9:$D$135,E$4,条文別整理表!$C$9:$C$135,"&gt;0")</f>
        <v>0</v>
      </c>
      <c r="F20" s="43" t="n">
        <f aca="false">COUNTIFS(条文別整理表!$A$9:$A$135,$A20,条文別整理表!$D$9:$D$135,F$4,条文別整理表!$C$9:$C$135,"&gt;0")</f>
        <v>0</v>
      </c>
      <c r="G20" s="43" t="n">
        <f aca="false">COUNTIFS(条文別整理表!$A$9:$A$135,$A20,条文別整理表!$D$9:$D$135,G$4,条文別整理表!$C$9:$C$135,"&gt;0")</f>
        <v>0</v>
      </c>
      <c r="H20" s="43" t="n">
        <f aca="false">COUNTIFS(条文別整理表!$A$9:$A$135,$A20,条文別整理表!$D$9:$D$135,H$4,条文別整理表!$C$9:$C$135,"&gt;0")</f>
        <v>0</v>
      </c>
      <c r="I20" s="43" t="n">
        <f aca="false">COUNTIFS(条文別整理表!$A$9:$A$135,$A20,条文別整理表!$D$9:$D$135,I$4,条文別整理表!$C$9:$C$135,"&gt;0")</f>
        <v>0</v>
      </c>
      <c r="J20" s="43" t="n">
        <f aca="false">COUNTIFS(条文別整理表!$A$9:$A$135,$A20,条文別整理表!$D$9:$D$135,J$4,条文別整理表!$C$9:$C$135,"&gt;0")</f>
        <v>0</v>
      </c>
      <c r="K20" s="43" t="n">
        <f aca="false">COUNTIFS(条文別整理表!$A$9:$A$135,$A20,条文別整理表!$D$9:$D$135,K$4,条文別整理表!$C$9:$C$135,"&gt;0")</f>
        <v>0</v>
      </c>
      <c r="L20" s="43" t="n">
        <f aca="false">COUNTIFS(条文別整理表!$A$9:$A$135,$A20,条文別整理表!$D$9:$D$135,L$4,条文別整理表!$C$9:$C$135,"&gt;0")</f>
        <v>0</v>
      </c>
      <c r="M20" s="43" t="n">
        <f aca="false">COUNTIFS(条文別整理表!$A$9:$A$135,$A20,条文別整理表!$D$9:$D$135,M$4,条文別整理表!$C$9:$C$135,"&gt;0")</f>
        <v>0</v>
      </c>
      <c r="N20" s="43" t="n">
        <f aca="false">COUNTIFS(条文別整理表!$A$9:$A$135,$A20,条文別整理表!$D$9:$D$135,N$4,条文別整理表!$C$9:$C$135,"&gt;0")</f>
        <v>0</v>
      </c>
      <c r="O20" s="43" t="n">
        <f aca="false">COUNTIFS(条文別整理表!$A$9:$A$135,$A20,条文別整理表!$D$9:$D$135,O$4,条文別整理表!$C$9:$C$135,"&gt;0")</f>
        <v>0</v>
      </c>
      <c r="P20" s="43" t="n">
        <f aca="false">COUNTIFS(条文別整理表!$A$9:$A$135,$A20,条文別整理表!$D$9:$D$135,P$4,条文別整理表!$C$9:$C$135,"&gt;0")</f>
        <v>0</v>
      </c>
      <c r="Q20" s="43" t="n">
        <f aca="false">COUNTIFS(条文別整理表!$A$9:$A$135,$A20,条文別整理表!$D$9:$D$135,Q$4,条文別整理表!$C$9:$C$135,"&gt;0")</f>
        <v>0</v>
      </c>
      <c r="R20" s="43" t="n">
        <f aca="false">COUNTIFS(条文別整理表!$A$9:$A$135,$A20,条文別整理表!$D$9:$D$135,R$4,条文別整理表!$C$9:$C$135,"&gt;0")</f>
        <v>0</v>
      </c>
      <c r="S20" s="43" t="n">
        <f aca="false">COUNTIFS(条文別整理表!$A$9:$A$135,$A20,条文別整理表!$D$9:$D$135,S$4,条文別整理表!$C$9:$C$135,"&gt;0")</f>
        <v>1</v>
      </c>
      <c r="T20" s="43" t="n">
        <f aca="false">COUNTIFS(条文別整理表!$A$9:$A$135,$A20,条文別整理表!$D$9:$D$135,T$4,条文別整理表!$C$9:$C$135,"&gt;0")</f>
        <v>0</v>
      </c>
      <c r="U20" s="43" t="n">
        <f aca="false">COUNTIFS(条文別整理表!$A$9:$A$135,$A20,条文別整理表!$D$9:$D$135,U$4,条文別整理表!$C$9:$C$135,"&gt;0")</f>
        <v>0</v>
      </c>
      <c r="V20" s="43" t="n">
        <f aca="false">COUNTIFS(条文別整理表!$A$9:$A$135,$A20,条文別整理表!$D$9:$D$135,V$4,条文別整理表!$C$9:$C$135,"&gt;0")</f>
        <v>0</v>
      </c>
      <c r="W20" s="43" t="n">
        <f aca="false">COUNTIFS(条文別整理表!$A$9:$A$135,$A20,条文別整理表!$D$9:$D$135,W$4,条文別整理表!$C$9:$C$135,"&gt;0")</f>
        <v>0</v>
      </c>
      <c r="X20" s="43" t="n">
        <f aca="false">COUNTIFS(条文別整理表!$A$9:$A$135,$A20,条文別整理表!$D$9:$D$135,X$4,条文別整理表!$C$9:$C$135,"&gt;0")</f>
        <v>2</v>
      </c>
      <c r="Y20" s="43" t="n">
        <f aca="false">COUNTIFS(条文別整理表!$A$9:$A$135,$A20,条文別整理表!$D$9:$D$135,Y$4,条文別整理表!$C$9:$C$135,"&gt;0")</f>
        <v>1</v>
      </c>
      <c r="Z20" s="44" t="n">
        <f aca="false">SUM(D20:Y20)</f>
        <v>4</v>
      </c>
      <c r="AA20" s="44" t="n">
        <f aca="false">COUNTIF(D20:Y20,"&gt;0")</f>
        <v>3</v>
      </c>
    </row>
    <row r="21" customFormat="false" ht="25.35" hidden="false" customHeight="false" outlineLevel="0" collapsed="false">
      <c r="A21" s="41" t="s">
        <v>258</v>
      </c>
      <c r="B21" s="42" t="str">
        <f aca="false">INDEX(条文マスタ!$B$5:$B$24,MATCH($A21,条文マスタ!$A$5:$A$24,0))</f>
        <v>第2章 監督に関する現場技術業務</v>
      </c>
      <c r="C21" s="42" t="str">
        <f aca="false">INDEX(条文マスタ!$C$5:$C$24,MATCH($A21,条文マスタ!$A$5:$A$24,0))</f>
        <v>設計変更工事検査等に関する図書</v>
      </c>
      <c r="D21" s="43" t="n">
        <f aca="false">COUNTIFS(条文別整理表!$A$9:$A$135,$A21,条文別整理表!$D$9:$D$135,D$4,条文別整理表!$C$9:$C$135,"&gt;0")</f>
        <v>0</v>
      </c>
      <c r="E21" s="43" t="n">
        <f aca="false">COUNTIFS(条文別整理表!$A$9:$A$135,$A21,条文別整理表!$D$9:$D$135,E$4,条文別整理表!$C$9:$C$135,"&gt;0")</f>
        <v>0</v>
      </c>
      <c r="F21" s="43" t="n">
        <f aca="false">COUNTIFS(条文別整理表!$A$9:$A$135,$A21,条文別整理表!$D$9:$D$135,F$4,条文別整理表!$C$9:$C$135,"&gt;0")</f>
        <v>0</v>
      </c>
      <c r="G21" s="43" t="n">
        <f aca="false">COUNTIFS(条文別整理表!$A$9:$A$135,$A21,条文別整理表!$D$9:$D$135,G$4,条文別整理表!$C$9:$C$135,"&gt;0")</f>
        <v>0</v>
      </c>
      <c r="H21" s="43" t="n">
        <f aca="false">COUNTIFS(条文別整理表!$A$9:$A$135,$A21,条文別整理表!$D$9:$D$135,H$4,条文別整理表!$C$9:$C$135,"&gt;0")</f>
        <v>0</v>
      </c>
      <c r="I21" s="43" t="n">
        <f aca="false">COUNTIFS(条文別整理表!$A$9:$A$135,$A21,条文別整理表!$D$9:$D$135,I$4,条文別整理表!$C$9:$C$135,"&gt;0")</f>
        <v>0</v>
      </c>
      <c r="J21" s="43" t="n">
        <f aca="false">COUNTIFS(条文別整理表!$A$9:$A$135,$A21,条文別整理表!$D$9:$D$135,J$4,条文別整理表!$C$9:$C$135,"&gt;0")</f>
        <v>1</v>
      </c>
      <c r="K21" s="43" t="n">
        <f aca="false">COUNTIFS(条文別整理表!$A$9:$A$135,$A21,条文別整理表!$D$9:$D$135,K$4,条文別整理表!$C$9:$C$135,"&gt;0")</f>
        <v>0</v>
      </c>
      <c r="L21" s="43" t="n">
        <f aca="false">COUNTIFS(条文別整理表!$A$9:$A$135,$A21,条文別整理表!$D$9:$D$135,L$4,条文別整理表!$C$9:$C$135,"&gt;0")</f>
        <v>0</v>
      </c>
      <c r="M21" s="43" t="n">
        <f aca="false">COUNTIFS(条文別整理表!$A$9:$A$135,$A21,条文別整理表!$D$9:$D$135,M$4,条文別整理表!$C$9:$C$135,"&gt;0")</f>
        <v>0</v>
      </c>
      <c r="N21" s="43" t="n">
        <f aca="false">COUNTIFS(条文別整理表!$A$9:$A$135,$A21,条文別整理表!$D$9:$D$135,N$4,条文別整理表!$C$9:$C$135,"&gt;0")</f>
        <v>1</v>
      </c>
      <c r="O21" s="43" t="n">
        <f aca="false">COUNTIFS(条文別整理表!$A$9:$A$135,$A21,条文別整理表!$D$9:$D$135,O$4,条文別整理表!$C$9:$C$135,"&gt;0")</f>
        <v>1</v>
      </c>
      <c r="P21" s="43" t="n">
        <f aca="false">COUNTIFS(条文別整理表!$A$9:$A$135,$A21,条文別整理表!$D$9:$D$135,P$4,条文別整理表!$C$9:$C$135,"&gt;0")</f>
        <v>2</v>
      </c>
      <c r="Q21" s="43" t="n">
        <f aca="false">COUNTIFS(条文別整理表!$A$9:$A$135,$A21,条文別整理表!$D$9:$D$135,Q$4,条文別整理表!$C$9:$C$135,"&gt;0")</f>
        <v>3</v>
      </c>
      <c r="R21" s="43" t="n">
        <f aca="false">COUNTIFS(条文別整理表!$A$9:$A$135,$A21,条文別整理表!$D$9:$D$135,R$4,条文別整理表!$C$9:$C$135,"&gt;0")</f>
        <v>3</v>
      </c>
      <c r="S21" s="43" t="n">
        <f aca="false">COUNTIFS(条文別整理表!$A$9:$A$135,$A21,条文別整理表!$D$9:$D$135,S$4,条文別整理表!$C$9:$C$135,"&gt;0")</f>
        <v>2</v>
      </c>
      <c r="T21" s="43" t="n">
        <f aca="false">COUNTIFS(条文別整理表!$A$9:$A$135,$A21,条文別整理表!$D$9:$D$135,T$4,条文別整理表!$C$9:$C$135,"&gt;0")</f>
        <v>0</v>
      </c>
      <c r="U21" s="43" t="n">
        <f aca="false">COUNTIFS(条文別整理表!$A$9:$A$135,$A21,条文別整理表!$D$9:$D$135,U$4,条文別整理表!$C$9:$C$135,"&gt;0")</f>
        <v>3</v>
      </c>
      <c r="V21" s="43" t="n">
        <f aca="false">COUNTIFS(条文別整理表!$A$9:$A$135,$A21,条文別整理表!$D$9:$D$135,V$4,条文別整理表!$C$9:$C$135,"&gt;0")</f>
        <v>6</v>
      </c>
      <c r="W21" s="43" t="n">
        <f aca="false">COUNTIFS(条文別整理表!$A$9:$A$135,$A21,条文別整理表!$D$9:$D$135,W$4,条文別整理表!$C$9:$C$135,"&gt;0")</f>
        <v>3</v>
      </c>
      <c r="X21" s="43" t="n">
        <f aca="false">COUNTIFS(条文別整理表!$A$9:$A$135,$A21,条文別整理表!$D$9:$D$135,X$4,条文別整理表!$C$9:$C$135,"&gt;0")</f>
        <v>0</v>
      </c>
      <c r="Y21" s="43" t="n">
        <f aca="false">COUNTIFS(条文別整理表!$A$9:$A$135,$A21,条文別整理表!$D$9:$D$135,Y$4,条文別整理表!$C$9:$C$135,"&gt;0")</f>
        <v>1</v>
      </c>
      <c r="Z21" s="44" t="n">
        <f aca="false">SUM(D21:Y21)</f>
        <v>26</v>
      </c>
      <c r="AA21" s="44" t="n">
        <f aca="false">COUNTIF(D21:Y21,"&gt;0")</f>
        <v>11</v>
      </c>
    </row>
    <row r="22" customFormat="false" ht="25.35" hidden="false" customHeight="false" outlineLevel="0" collapsed="false">
      <c r="A22" s="41" t="s">
        <v>259</v>
      </c>
      <c r="B22" s="42" t="str">
        <f aca="false">INDEX(条文マスタ!$B$5:$B$24,MATCH($A22,条文マスタ!$A$5:$A$24,0))</f>
        <v>第2章 監督に関する現場技術業務</v>
      </c>
      <c r="C22" s="42" t="str">
        <f aca="false">INDEX(条文マスタ!$C$5:$C$24,MATCH($A22,条文マスタ!$A$5:$A$24,0))</f>
        <v>対外接渉に関する資料</v>
      </c>
      <c r="D22" s="43" t="n">
        <f aca="false">COUNTIFS(条文別整理表!$A$9:$A$135,$A22,条文別整理表!$D$9:$D$135,D$4,条文別整理表!$C$9:$C$135,"&gt;0")</f>
        <v>0</v>
      </c>
      <c r="E22" s="43" t="n">
        <f aca="false">COUNTIFS(条文別整理表!$A$9:$A$135,$A22,条文別整理表!$D$9:$D$135,E$4,条文別整理表!$C$9:$C$135,"&gt;0")</f>
        <v>0</v>
      </c>
      <c r="F22" s="43" t="n">
        <f aca="false">COUNTIFS(条文別整理表!$A$9:$A$135,$A22,条文別整理表!$D$9:$D$135,F$4,条文別整理表!$C$9:$C$135,"&gt;0")</f>
        <v>0</v>
      </c>
      <c r="G22" s="43" t="n">
        <f aca="false">COUNTIFS(条文別整理表!$A$9:$A$135,$A22,条文別整理表!$D$9:$D$135,G$4,条文別整理表!$C$9:$C$135,"&gt;0")</f>
        <v>0</v>
      </c>
      <c r="H22" s="43" t="n">
        <f aca="false">COUNTIFS(条文別整理表!$A$9:$A$135,$A22,条文別整理表!$D$9:$D$135,H$4,条文別整理表!$C$9:$C$135,"&gt;0")</f>
        <v>0</v>
      </c>
      <c r="I22" s="43" t="n">
        <f aca="false">COUNTIFS(条文別整理表!$A$9:$A$135,$A22,条文別整理表!$D$9:$D$135,I$4,条文別整理表!$C$9:$C$135,"&gt;0")</f>
        <v>0</v>
      </c>
      <c r="J22" s="43" t="n">
        <f aca="false">COUNTIFS(条文別整理表!$A$9:$A$135,$A22,条文別整理表!$D$9:$D$135,J$4,条文別整理表!$C$9:$C$135,"&gt;0")</f>
        <v>0</v>
      </c>
      <c r="K22" s="43" t="n">
        <f aca="false">COUNTIFS(条文別整理表!$A$9:$A$135,$A22,条文別整理表!$D$9:$D$135,K$4,条文別整理表!$C$9:$C$135,"&gt;0")</f>
        <v>0</v>
      </c>
      <c r="L22" s="43" t="n">
        <f aca="false">COUNTIFS(条文別整理表!$A$9:$A$135,$A22,条文別整理表!$D$9:$D$135,L$4,条文別整理表!$C$9:$C$135,"&gt;0")</f>
        <v>0</v>
      </c>
      <c r="M22" s="43" t="n">
        <f aca="false">COUNTIFS(条文別整理表!$A$9:$A$135,$A22,条文別整理表!$D$9:$D$135,M$4,条文別整理表!$C$9:$C$135,"&gt;0")</f>
        <v>0</v>
      </c>
      <c r="N22" s="43" t="n">
        <f aca="false">COUNTIFS(条文別整理表!$A$9:$A$135,$A22,条文別整理表!$D$9:$D$135,N$4,条文別整理表!$C$9:$C$135,"&gt;0")</f>
        <v>0</v>
      </c>
      <c r="O22" s="43" t="n">
        <f aca="false">COUNTIFS(条文別整理表!$A$9:$A$135,$A22,条文別整理表!$D$9:$D$135,O$4,条文別整理表!$C$9:$C$135,"&gt;0")</f>
        <v>0</v>
      </c>
      <c r="P22" s="43" t="n">
        <f aca="false">COUNTIFS(条文別整理表!$A$9:$A$135,$A22,条文別整理表!$D$9:$D$135,P$4,条文別整理表!$C$9:$C$135,"&gt;0")</f>
        <v>0</v>
      </c>
      <c r="Q22" s="43" t="n">
        <f aca="false">COUNTIFS(条文別整理表!$A$9:$A$135,$A22,条文別整理表!$D$9:$D$135,Q$4,条文別整理表!$C$9:$C$135,"&gt;0")</f>
        <v>0</v>
      </c>
      <c r="R22" s="43" t="n">
        <f aca="false">COUNTIFS(条文別整理表!$A$9:$A$135,$A22,条文別整理表!$D$9:$D$135,R$4,条文別整理表!$C$9:$C$135,"&gt;0")</f>
        <v>0</v>
      </c>
      <c r="S22" s="43" t="n">
        <f aca="false">COUNTIFS(条文別整理表!$A$9:$A$135,$A22,条文別整理表!$D$9:$D$135,S$4,条文別整理表!$C$9:$C$135,"&gt;0")</f>
        <v>0</v>
      </c>
      <c r="T22" s="43" t="n">
        <f aca="false">COUNTIFS(条文別整理表!$A$9:$A$135,$A22,条文別整理表!$D$9:$D$135,T$4,条文別整理表!$C$9:$C$135,"&gt;0")</f>
        <v>0</v>
      </c>
      <c r="U22" s="43" t="n">
        <f aca="false">COUNTIFS(条文別整理表!$A$9:$A$135,$A22,条文別整理表!$D$9:$D$135,U$4,条文別整理表!$C$9:$C$135,"&gt;0")</f>
        <v>0</v>
      </c>
      <c r="V22" s="43" t="n">
        <f aca="false">COUNTIFS(条文別整理表!$A$9:$A$135,$A22,条文別整理表!$D$9:$D$135,V$4,条文別整理表!$C$9:$C$135,"&gt;0")</f>
        <v>0</v>
      </c>
      <c r="W22" s="43" t="n">
        <f aca="false">COUNTIFS(条文別整理表!$A$9:$A$135,$A22,条文別整理表!$D$9:$D$135,W$4,条文別整理表!$C$9:$C$135,"&gt;0")</f>
        <v>0</v>
      </c>
      <c r="X22" s="43" t="n">
        <f aca="false">COUNTIFS(条文別整理表!$A$9:$A$135,$A22,条文別整理表!$D$9:$D$135,X$4,条文別整理表!$C$9:$C$135,"&gt;0")</f>
        <v>0</v>
      </c>
      <c r="Y22" s="43" t="n">
        <f aca="false">COUNTIFS(条文別整理表!$A$9:$A$135,$A22,条文別整理表!$D$9:$D$135,Y$4,条文別整理表!$C$9:$C$135,"&gt;0")</f>
        <v>0</v>
      </c>
      <c r="Z22" s="44" t="n">
        <f aca="false">SUM(D22:Y22)</f>
        <v>0</v>
      </c>
      <c r="AA22" s="44" t="n">
        <f aca="false">COUNTIF(D22:Y22,"&gt;0")</f>
        <v>0</v>
      </c>
    </row>
    <row r="23" customFormat="false" ht="25.35" hidden="false" customHeight="false" outlineLevel="0" collapsed="false">
      <c r="A23" s="41" t="s">
        <v>260</v>
      </c>
      <c r="B23" s="42" t="str">
        <f aca="false">INDEX(条文マスタ!$B$5:$B$24,MATCH($A23,条文マスタ!$A$5:$A$24,0))</f>
        <v>第2章 監督に関する現場技術業務</v>
      </c>
      <c r="C23" s="42" t="str">
        <f aca="false">INDEX(条文マスタ!$C$5:$C$24,MATCH($A23,条文マスタ!$A$5:$A$24,0))</f>
        <v>書面での報告</v>
      </c>
      <c r="D23" s="43" t="n">
        <f aca="false">COUNTIFS(条文別整理表!$A$9:$A$135,$A23,条文別整理表!$D$9:$D$135,D$4,条文別整理表!$C$9:$C$135,"&gt;0")</f>
        <v>0</v>
      </c>
      <c r="E23" s="43" t="n">
        <f aca="false">COUNTIFS(条文別整理表!$A$9:$A$135,$A23,条文別整理表!$D$9:$D$135,E$4,条文別整理表!$C$9:$C$135,"&gt;0")</f>
        <v>0</v>
      </c>
      <c r="F23" s="43" t="n">
        <f aca="false">COUNTIFS(条文別整理表!$A$9:$A$135,$A23,条文別整理表!$D$9:$D$135,F$4,条文別整理表!$C$9:$C$135,"&gt;0")</f>
        <v>0</v>
      </c>
      <c r="G23" s="43" t="n">
        <f aca="false">COUNTIFS(条文別整理表!$A$9:$A$135,$A23,条文別整理表!$D$9:$D$135,G$4,条文別整理表!$C$9:$C$135,"&gt;0")</f>
        <v>0</v>
      </c>
      <c r="H23" s="43" t="n">
        <f aca="false">COUNTIFS(条文別整理表!$A$9:$A$135,$A23,条文別整理表!$D$9:$D$135,H$4,条文別整理表!$C$9:$C$135,"&gt;0")</f>
        <v>0</v>
      </c>
      <c r="I23" s="43" t="n">
        <f aca="false">COUNTIFS(条文別整理表!$A$9:$A$135,$A23,条文別整理表!$D$9:$D$135,I$4,条文別整理表!$C$9:$C$135,"&gt;0")</f>
        <v>0</v>
      </c>
      <c r="J23" s="43" t="n">
        <f aca="false">COUNTIFS(条文別整理表!$A$9:$A$135,$A23,条文別整理表!$D$9:$D$135,J$4,条文別整理表!$C$9:$C$135,"&gt;0")</f>
        <v>0</v>
      </c>
      <c r="K23" s="43" t="n">
        <f aca="false">COUNTIFS(条文別整理表!$A$9:$A$135,$A23,条文別整理表!$D$9:$D$135,K$4,条文別整理表!$C$9:$C$135,"&gt;0")</f>
        <v>0</v>
      </c>
      <c r="L23" s="43" t="n">
        <f aca="false">COUNTIFS(条文別整理表!$A$9:$A$135,$A23,条文別整理表!$D$9:$D$135,L$4,条文別整理表!$C$9:$C$135,"&gt;0")</f>
        <v>0</v>
      </c>
      <c r="M23" s="43" t="n">
        <f aca="false">COUNTIFS(条文別整理表!$A$9:$A$135,$A23,条文別整理表!$D$9:$D$135,M$4,条文別整理表!$C$9:$C$135,"&gt;0")</f>
        <v>0</v>
      </c>
      <c r="N23" s="43" t="n">
        <f aca="false">COUNTIFS(条文別整理表!$A$9:$A$135,$A23,条文別整理表!$D$9:$D$135,N$4,条文別整理表!$C$9:$C$135,"&gt;0")</f>
        <v>0</v>
      </c>
      <c r="O23" s="43" t="n">
        <f aca="false">COUNTIFS(条文別整理表!$A$9:$A$135,$A23,条文別整理表!$D$9:$D$135,O$4,条文別整理表!$C$9:$C$135,"&gt;0")</f>
        <v>0</v>
      </c>
      <c r="P23" s="43" t="n">
        <f aca="false">COUNTIFS(条文別整理表!$A$9:$A$135,$A23,条文別整理表!$D$9:$D$135,P$4,条文別整理表!$C$9:$C$135,"&gt;0")</f>
        <v>0</v>
      </c>
      <c r="Q23" s="43" t="n">
        <f aca="false">COUNTIFS(条文別整理表!$A$9:$A$135,$A23,条文別整理表!$D$9:$D$135,Q$4,条文別整理表!$C$9:$C$135,"&gt;0")</f>
        <v>0</v>
      </c>
      <c r="R23" s="43" t="n">
        <f aca="false">COUNTIFS(条文別整理表!$A$9:$A$135,$A23,条文別整理表!$D$9:$D$135,R$4,条文別整理表!$C$9:$C$135,"&gt;0")</f>
        <v>0</v>
      </c>
      <c r="S23" s="43" t="n">
        <f aca="false">COUNTIFS(条文別整理表!$A$9:$A$135,$A23,条文別整理表!$D$9:$D$135,S$4,条文別整理表!$C$9:$C$135,"&gt;0")</f>
        <v>0</v>
      </c>
      <c r="T23" s="43" t="n">
        <f aca="false">COUNTIFS(条文別整理表!$A$9:$A$135,$A23,条文別整理表!$D$9:$D$135,T$4,条文別整理表!$C$9:$C$135,"&gt;0")</f>
        <v>0</v>
      </c>
      <c r="U23" s="43" t="n">
        <f aca="false">COUNTIFS(条文別整理表!$A$9:$A$135,$A23,条文別整理表!$D$9:$D$135,U$4,条文別整理表!$C$9:$C$135,"&gt;0")</f>
        <v>0</v>
      </c>
      <c r="V23" s="43" t="n">
        <f aca="false">COUNTIFS(条文別整理表!$A$9:$A$135,$A23,条文別整理表!$D$9:$D$135,V$4,条文別整理表!$C$9:$C$135,"&gt;0")</f>
        <v>0</v>
      </c>
      <c r="W23" s="43" t="n">
        <f aca="false">COUNTIFS(条文別整理表!$A$9:$A$135,$A23,条文別整理表!$D$9:$D$135,W$4,条文別整理表!$C$9:$C$135,"&gt;0")</f>
        <v>0</v>
      </c>
      <c r="X23" s="43" t="n">
        <f aca="false">COUNTIFS(条文別整理表!$A$9:$A$135,$A23,条文別整理表!$D$9:$D$135,X$4,条文別整理表!$C$9:$C$135,"&gt;0")</f>
        <v>0</v>
      </c>
      <c r="Y23" s="43" t="n">
        <f aca="false">COUNTIFS(条文別整理表!$A$9:$A$135,$A23,条文別整理表!$D$9:$D$135,Y$4,条文別整理表!$C$9:$C$135,"&gt;0")</f>
        <v>0</v>
      </c>
      <c r="Z23" s="44" t="n">
        <f aca="false">SUM(D23:Y23)</f>
        <v>0</v>
      </c>
      <c r="AA23" s="44" t="n">
        <f aca="false">COUNTIF(D23:Y23,"&gt;0")</f>
        <v>0</v>
      </c>
    </row>
    <row r="24" customFormat="false" ht="25.35" hidden="false" customHeight="false" outlineLevel="0" collapsed="false">
      <c r="A24" s="41" t="s">
        <v>261</v>
      </c>
      <c r="B24" s="42" t="str">
        <f aca="false">INDEX(条文マスタ!$B$5:$B$24,MATCH($A24,条文マスタ!$A$5:$A$24,0))</f>
        <v>第3章 設計に関する現場技術業務</v>
      </c>
      <c r="C24" s="42" t="str">
        <f aca="false">INDEX(条文マスタ!$C$5:$C$24,MATCH($A24,条文マスタ!$A$5:$A$24,0))</f>
        <v>設計に必要な調査</v>
      </c>
      <c r="D24" s="43" t="n">
        <f aca="false">COUNTIFS(条文別整理表!$A$9:$A$135,$A24,条文別整理表!$D$9:$D$135,D$4,条文別整理表!$C$9:$C$135,"&gt;0")</f>
        <v>0</v>
      </c>
      <c r="E24" s="43" t="n">
        <f aca="false">COUNTIFS(条文別整理表!$A$9:$A$135,$A24,条文別整理表!$D$9:$D$135,E$4,条文別整理表!$C$9:$C$135,"&gt;0")</f>
        <v>0</v>
      </c>
      <c r="F24" s="43" t="n">
        <f aca="false">COUNTIFS(条文別整理表!$A$9:$A$135,$A24,条文別整理表!$D$9:$D$135,F$4,条文別整理表!$C$9:$C$135,"&gt;0")</f>
        <v>3</v>
      </c>
      <c r="G24" s="43" t="n">
        <f aca="false">COUNTIFS(条文別整理表!$A$9:$A$135,$A24,条文別整理表!$D$9:$D$135,G$4,条文別整理表!$C$9:$C$135,"&gt;0")</f>
        <v>2</v>
      </c>
      <c r="H24" s="43" t="n">
        <f aca="false">COUNTIFS(条文別整理表!$A$9:$A$135,$A24,条文別整理表!$D$9:$D$135,H$4,条文別整理表!$C$9:$C$135,"&gt;0")</f>
        <v>0</v>
      </c>
      <c r="I24" s="43" t="n">
        <f aca="false">COUNTIFS(条文別整理表!$A$9:$A$135,$A24,条文別整理表!$D$9:$D$135,I$4,条文別整理表!$C$9:$C$135,"&gt;0")</f>
        <v>0</v>
      </c>
      <c r="J24" s="43" t="n">
        <f aca="false">COUNTIFS(条文別整理表!$A$9:$A$135,$A24,条文別整理表!$D$9:$D$135,J$4,条文別整理表!$C$9:$C$135,"&gt;0")</f>
        <v>1</v>
      </c>
      <c r="K24" s="43" t="n">
        <f aca="false">COUNTIFS(条文別整理表!$A$9:$A$135,$A24,条文別整理表!$D$9:$D$135,K$4,条文別整理表!$C$9:$C$135,"&gt;0")</f>
        <v>1</v>
      </c>
      <c r="L24" s="43" t="n">
        <f aca="false">COUNTIFS(条文別整理表!$A$9:$A$135,$A24,条文別整理表!$D$9:$D$135,L$4,条文別整理表!$C$9:$C$135,"&gt;0")</f>
        <v>0</v>
      </c>
      <c r="M24" s="43" t="n">
        <f aca="false">COUNTIFS(条文別整理表!$A$9:$A$135,$A24,条文別整理表!$D$9:$D$135,M$4,条文別整理表!$C$9:$C$135,"&gt;0")</f>
        <v>0</v>
      </c>
      <c r="N24" s="43" t="n">
        <f aca="false">COUNTIFS(条文別整理表!$A$9:$A$135,$A24,条文別整理表!$D$9:$D$135,N$4,条文別整理表!$C$9:$C$135,"&gt;0")</f>
        <v>0</v>
      </c>
      <c r="O24" s="43" t="n">
        <f aca="false">COUNTIFS(条文別整理表!$A$9:$A$135,$A24,条文別整理表!$D$9:$D$135,O$4,条文別整理表!$C$9:$C$135,"&gt;0")</f>
        <v>1</v>
      </c>
      <c r="P24" s="43" t="n">
        <f aca="false">COUNTIFS(条文別整理表!$A$9:$A$135,$A24,条文別整理表!$D$9:$D$135,P$4,条文別整理表!$C$9:$C$135,"&gt;0")</f>
        <v>0</v>
      </c>
      <c r="Q24" s="43" t="n">
        <f aca="false">COUNTIFS(条文別整理表!$A$9:$A$135,$A24,条文別整理表!$D$9:$D$135,Q$4,条文別整理表!$C$9:$C$135,"&gt;0")</f>
        <v>0</v>
      </c>
      <c r="R24" s="43" t="n">
        <f aca="false">COUNTIFS(条文別整理表!$A$9:$A$135,$A24,条文別整理表!$D$9:$D$135,R$4,条文別整理表!$C$9:$C$135,"&gt;0")</f>
        <v>0</v>
      </c>
      <c r="S24" s="43" t="n">
        <f aca="false">COUNTIFS(条文別整理表!$A$9:$A$135,$A24,条文別整理表!$D$9:$D$135,S$4,条文別整理表!$C$9:$C$135,"&gt;0")</f>
        <v>0</v>
      </c>
      <c r="T24" s="43" t="n">
        <f aca="false">COUNTIFS(条文別整理表!$A$9:$A$135,$A24,条文別整理表!$D$9:$D$135,T$4,条文別整理表!$C$9:$C$135,"&gt;0")</f>
        <v>4</v>
      </c>
      <c r="U24" s="43" t="n">
        <f aca="false">COUNTIFS(条文別整理表!$A$9:$A$135,$A24,条文別整理表!$D$9:$D$135,U$4,条文別整理表!$C$9:$C$135,"&gt;0")</f>
        <v>0</v>
      </c>
      <c r="V24" s="43" t="n">
        <f aca="false">COUNTIFS(条文別整理表!$A$9:$A$135,$A24,条文別整理表!$D$9:$D$135,V$4,条文別整理表!$C$9:$C$135,"&gt;0")</f>
        <v>0</v>
      </c>
      <c r="W24" s="43" t="n">
        <f aca="false">COUNTIFS(条文別整理表!$A$9:$A$135,$A24,条文別整理表!$D$9:$D$135,W$4,条文別整理表!$C$9:$C$135,"&gt;0")</f>
        <v>0</v>
      </c>
      <c r="X24" s="43" t="n">
        <f aca="false">COUNTIFS(条文別整理表!$A$9:$A$135,$A24,条文別整理表!$D$9:$D$135,X$4,条文別整理表!$C$9:$C$135,"&gt;0")</f>
        <v>1</v>
      </c>
      <c r="Y24" s="43" t="n">
        <f aca="false">COUNTIFS(条文別整理表!$A$9:$A$135,$A24,条文別整理表!$D$9:$D$135,Y$4,条文別整理表!$C$9:$C$135,"&gt;0")</f>
        <v>2</v>
      </c>
      <c r="Z24" s="44" t="n">
        <f aca="false">SUM(D24:Y24)</f>
        <v>15</v>
      </c>
      <c r="AA24" s="44" t="n">
        <f aca="false">COUNTIF(D24:Y24,"&gt;0")</f>
        <v>8</v>
      </c>
    </row>
    <row r="25" customFormat="false" ht="25.35" hidden="false" customHeight="false" outlineLevel="0" collapsed="false">
      <c r="A25" s="41" t="s">
        <v>262</v>
      </c>
      <c r="B25" s="42" t="str">
        <f aca="false">INDEX(条文マスタ!$B$5:$B$24,MATCH($A25,条文マスタ!$A$5:$A$24,0))</f>
        <v>第3章 設計に関する現場技術業務</v>
      </c>
      <c r="C25" s="42" t="str">
        <f aca="false">INDEX(条文マスタ!$C$5:$C$24,MATCH($A25,条文マスタ!$A$5:$A$24,0))</f>
        <v>設計に必要な資料</v>
      </c>
      <c r="D25" s="43" t="n">
        <f aca="false">COUNTIFS(条文別整理表!$A$9:$A$135,$A25,条文別整理表!$D$9:$D$135,D$4,条文別整理表!$C$9:$C$135,"&gt;0")</f>
        <v>0</v>
      </c>
      <c r="E25" s="43" t="n">
        <f aca="false">COUNTIFS(条文別整理表!$A$9:$A$135,$A25,条文別整理表!$D$9:$D$135,E$4,条文別整理表!$C$9:$C$135,"&gt;0")</f>
        <v>0</v>
      </c>
      <c r="F25" s="43" t="n">
        <f aca="false">COUNTIFS(条文別整理表!$A$9:$A$135,$A25,条文別整理表!$D$9:$D$135,F$4,条文別整理表!$C$9:$C$135,"&gt;0")</f>
        <v>0</v>
      </c>
      <c r="G25" s="43" t="n">
        <f aca="false">COUNTIFS(条文別整理表!$A$9:$A$135,$A25,条文別整理表!$D$9:$D$135,G$4,条文別整理表!$C$9:$C$135,"&gt;0")</f>
        <v>0</v>
      </c>
      <c r="H25" s="43" t="n">
        <f aca="false">COUNTIFS(条文別整理表!$A$9:$A$135,$A25,条文別整理表!$D$9:$D$135,H$4,条文別整理表!$C$9:$C$135,"&gt;0")</f>
        <v>0</v>
      </c>
      <c r="I25" s="43" t="n">
        <f aca="false">COUNTIFS(条文別整理表!$A$9:$A$135,$A25,条文別整理表!$D$9:$D$135,I$4,条文別整理表!$C$9:$C$135,"&gt;0")</f>
        <v>1</v>
      </c>
      <c r="J25" s="43" t="n">
        <f aca="false">COUNTIFS(条文別整理表!$A$9:$A$135,$A25,条文別整理表!$D$9:$D$135,J$4,条文別整理表!$C$9:$C$135,"&gt;0")</f>
        <v>0</v>
      </c>
      <c r="K25" s="43" t="n">
        <f aca="false">COUNTIFS(条文別整理表!$A$9:$A$135,$A25,条文別整理表!$D$9:$D$135,K$4,条文別整理表!$C$9:$C$135,"&gt;0")</f>
        <v>2</v>
      </c>
      <c r="L25" s="43" t="n">
        <f aca="false">COUNTIFS(条文別整理表!$A$9:$A$135,$A25,条文別整理表!$D$9:$D$135,L$4,条文別整理表!$C$9:$C$135,"&gt;0")</f>
        <v>2</v>
      </c>
      <c r="M25" s="43" t="n">
        <f aca="false">COUNTIFS(条文別整理表!$A$9:$A$135,$A25,条文別整理表!$D$9:$D$135,M$4,条文別整理表!$C$9:$C$135,"&gt;0")</f>
        <v>2</v>
      </c>
      <c r="N25" s="43" t="n">
        <f aca="false">COUNTIFS(条文別整理表!$A$9:$A$135,$A25,条文別整理表!$D$9:$D$135,N$4,条文別整理表!$C$9:$C$135,"&gt;0")</f>
        <v>2</v>
      </c>
      <c r="O25" s="43" t="n">
        <f aca="false">COUNTIFS(条文別整理表!$A$9:$A$135,$A25,条文別整理表!$D$9:$D$135,O$4,条文別整理表!$C$9:$C$135,"&gt;0")</f>
        <v>0</v>
      </c>
      <c r="P25" s="43" t="n">
        <f aca="false">COUNTIFS(条文別整理表!$A$9:$A$135,$A25,条文別整理表!$D$9:$D$135,P$4,条文別整理表!$C$9:$C$135,"&gt;0")</f>
        <v>0</v>
      </c>
      <c r="Q25" s="43" t="n">
        <f aca="false">COUNTIFS(条文別整理表!$A$9:$A$135,$A25,条文別整理表!$D$9:$D$135,Q$4,条文別整理表!$C$9:$C$135,"&gt;0")</f>
        <v>0</v>
      </c>
      <c r="R25" s="43" t="n">
        <f aca="false">COUNTIFS(条文別整理表!$A$9:$A$135,$A25,条文別整理表!$D$9:$D$135,R$4,条文別整理表!$C$9:$C$135,"&gt;0")</f>
        <v>0</v>
      </c>
      <c r="S25" s="43" t="n">
        <f aca="false">COUNTIFS(条文別整理表!$A$9:$A$135,$A25,条文別整理表!$D$9:$D$135,S$4,条文別整理表!$C$9:$C$135,"&gt;0")</f>
        <v>0</v>
      </c>
      <c r="T25" s="43" t="n">
        <f aca="false">COUNTIFS(条文別整理表!$A$9:$A$135,$A25,条文別整理表!$D$9:$D$135,T$4,条文別整理表!$C$9:$C$135,"&gt;0")</f>
        <v>0</v>
      </c>
      <c r="U25" s="43" t="n">
        <f aca="false">COUNTIFS(条文別整理表!$A$9:$A$135,$A25,条文別整理表!$D$9:$D$135,U$4,条文別整理表!$C$9:$C$135,"&gt;0")</f>
        <v>0</v>
      </c>
      <c r="V25" s="43" t="n">
        <f aca="false">COUNTIFS(条文別整理表!$A$9:$A$135,$A25,条文別整理表!$D$9:$D$135,V$4,条文別整理表!$C$9:$C$135,"&gt;0")</f>
        <v>0</v>
      </c>
      <c r="W25" s="43" t="n">
        <f aca="false">COUNTIFS(条文別整理表!$A$9:$A$135,$A25,条文別整理表!$D$9:$D$135,W$4,条文別整理表!$C$9:$C$135,"&gt;0")</f>
        <v>0</v>
      </c>
      <c r="X25" s="43" t="n">
        <f aca="false">COUNTIFS(条文別整理表!$A$9:$A$135,$A25,条文別整理表!$D$9:$D$135,X$4,条文別整理表!$C$9:$C$135,"&gt;0")</f>
        <v>0</v>
      </c>
      <c r="Y25" s="43" t="n">
        <f aca="false">COUNTIFS(条文別整理表!$A$9:$A$135,$A25,条文別整理表!$D$9:$D$135,Y$4,条文別整理表!$C$9:$C$135,"&gt;0")</f>
        <v>0</v>
      </c>
      <c r="Z25" s="44" t="n">
        <f aca="false">SUM(D25:Y25)</f>
        <v>9</v>
      </c>
      <c r="AA25" s="44" t="n">
        <f aca="false">COUNTIF(D25:Y25,"&gt;0")</f>
        <v>5</v>
      </c>
    </row>
    <row r="26" customFormat="false" ht="15" hidden="false" customHeight="true" outlineLevel="0" collapsed="false">
      <c r="A26" s="45" t="s">
        <v>81</v>
      </c>
      <c r="B26" s="45"/>
      <c r="C26" s="45"/>
      <c r="D26" s="46" t="n">
        <f aca="false">SUM(D6:D25)</f>
        <v>4</v>
      </c>
      <c r="E26" s="46" t="n">
        <f aca="false">SUM(E6:E25)</f>
        <v>3</v>
      </c>
      <c r="F26" s="46" t="n">
        <f aca="false">SUM(F6:F25)</f>
        <v>4</v>
      </c>
      <c r="G26" s="46" t="n">
        <f aca="false">SUM(G6:G25)</f>
        <v>4</v>
      </c>
      <c r="H26" s="46" t="n">
        <f aca="false">SUM(H6:H25)</f>
        <v>5</v>
      </c>
      <c r="I26" s="46" t="n">
        <f aca="false">SUM(I6:I25)</f>
        <v>4</v>
      </c>
      <c r="J26" s="46" t="n">
        <f aca="false">SUM(J6:J25)</f>
        <v>3</v>
      </c>
      <c r="K26" s="46" t="n">
        <f aca="false">SUM(K6:K25)</f>
        <v>5</v>
      </c>
      <c r="L26" s="46" t="n">
        <f aca="false">SUM(L6:L25)</f>
        <v>3</v>
      </c>
      <c r="M26" s="46" t="n">
        <f aca="false">SUM(M6:M25)</f>
        <v>3</v>
      </c>
      <c r="N26" s="46" t="n">
        <f aca="false">SUM(N6:N25)</f>
        <v>4</v>
      </c>
      <c r="O26" s="46" t="n">
        <f aca="false">SUM(O6:O25)</f>
        <v>4</v>
      </c>
      <c r="P26" s="46" t="n">
        <f aca="false">SUM(P6:P25)</f>
        <v>4</v>
      </c>
      <c r="Q26" s="46" t="n">
        <f aca="false">SUM(Q6:Q25)</f>
        <v>5</v>
      </c>
      <c r="R26" s="46" t="n">
        <f aca="false">SUM(R6:R25)</f>
        <v>5</v>
      </c>
      <c r="S26" s="46" t="n">
        <f aca="false">SUM(S6:S25)</f>
        <v>6</v>
      </c>
      <c r="T26" s="46" t="n">
        <f aca="false">SUM(T6:T25)</f>
        <v>7</v>
      </c>
      <c r="U26" s="46" t="n">
        <f aca="false">SUM(U6:U25)</f>
        <v>4</v>
      </c>
      <c r="V26" s="46" t="n">
        <f aca="false">SUM(V6:V25)</f>
        <v>7</v>
      </c>
      <c r="W26" s="46" t="n">
        <f aca="false">SUM(W6:W25)</f>
        <v>4</v>
      </c>
      <c r="X26" s="46" t="n">
        <f aca="false">SUM(X6:X25)</f>
        <v>4</v>
      </c>
      <c r="Y26" s="46" t="n">
        <f aca="false">SUM(Y6:Y25)</f>
        <v>5</v>
      </c>
      <c r="Z26" s="46" t="n">
        <f aca="false">SUM(Z6:Z25)</f>
        <v>97</v>
      </c>
      <c r="AA26" s="46" t="n">
        <f aca="false">SUMPRODUCT(--(D26:Y26&gt;0))</f>
        <v>22</v>
      </c>
    </row>
    <row r="28" customFormat="false" ht="15" hidden="false" customHeight="false" outlineLevel="0" collapsed="false">
      <c r="A28" s="23" t="s">
        <v>263</v>
      </c>
    </row>
  </sheetData>
  <mergeCells count="6">
    <mergeCell ref="A4:A5"/>
    <mergeCell ref="B4:B5"/>
    <mergeCell ref="C4:C5"/>
    <mergeCell ref="Z4:Z5"/>
    <mergeCell ref="AA4:AA5"/>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3" min="3" style="0" width="36"/>
    <col collapsed="false" customWidth="true" hidden="false" outlineLevel="0" max="4" min="4" style="0" width="70"/>
  </cols>
  <sheetData>
    <row r="1" customFormat="false" ht="17.35" hidden="false" customHeight="false" outlineLevel="0" collapsed="false">
      <c r="A1" s="38" t="s">
        <v>264</v>
      </c>
    </row>
    <row r="2" customFormat="false" ht="15" hidden="false" customHeight="false" outlineLevel="0" collapsed="false">
      <c r="A2" s="23" t="s">
        <v>265</v>
      </c>
    </row>
    <row r="4" customFormat="false" ht="15" hidden="false" customHeight="false" outlineLevel="0" collapsed="false">
      <c r="A4" s="7" t="s">
        <v>32</v>
      </c>
      <c r="B4" s="7" t="s">
        <v>241</v>
      </c>
      <c r="C4" s="7" t="s">
        <v>33</v>
      </c>
      <c r="D4" s="7" t="s">
        <v>266</v>
      </c>
    </row>
    <row r="5" customFormat="false" ht="31.5" hidden="false" customHeight="true" outlineLevel="0" collapsed="false">
      <c r="A5" s="47" t="s">
        <v>267</v>
      </c>
      <c r="B5" s="47" t="s">
        <v>268</v>
      </c>
      <c r="C5" s="9" t="s">
        <v>269</v>
      </c>
      <c r="D5" s="9" t="s">
        <v>270</v>
      </c>
    </row>
    <row r="6" customFormat="false" ht="31.5" hidden="false" customHeight="true" outlineLevel="0" collapsed="false">
      <c r="A6" s="47" t="s">
        <v>271</v>
      </c>
      <c r="B6" s="47" t="s">
        <v>268</v>
      </c>
      <c r="C6" s="9" t="s">
        <v>272</v>
      </c>
      <c r="D6" s="9" t="s">
        <v>273</v>
      </c>
    </row>
    <row r="7" customFormat="false" ht="31.5" hidden="false" customHeight="true" outlineLevel="0" collapsed="false">
      <c r="A7" s="47" t="s">
        <v>274</v>
      </c>
      <c r="B7" s="47" t="s">
        <v>268</v>
      </c>
      <c r="C7" s="9" t="s">
        <v>275</v>
      </c>
      <c r="D7" s="9" t="s">
        <v>276</v>
      </c>
    </row>
    <row r="8" customFormat="false" ht="31.5" hidden="false" customHeight="true" outlineLevel="0" collapsed="false">
      <c r="A8" s="47" t="s">
        <v>277</v>
      </c>
      <c r="B8" s="47" t="s">
        <v>268</v>
      </c>
      <c r="C8" s="9" t="s">
        <v>278</v>
      </c>
      <c r="D8" s="9" t="s">
        <v>279</v>
      </c>
    </row>
    <row r="9" customFormat="false" ht="31.5" hidden="false" customHeight="true" outlineLevel="0" collapsed="false">
      <c r="A9" s="47" t="s">
        <v>280</v>
      </c>
      <c r="B9" s="47" t="s">
        <v>268</v>
      </c>
      <c r="C9" s="9" t="s">
        <v>281</v>
      </c>
      <c r="D9" s="9" t="s">
        <v>282</v>
      </c>
    </row>
    <row r="10" customFormat="false" ht="31.5" hidden="false" customHeight="true" outlineLevel="0" collapsed="false">
      <c r="A10" s="47" t="s">
        <v>283</v>
      </c>
      <c r="B10" s="47" t="s">
        <v>268</v>
      </c>
      <c r="C10" s="9" t="s">
        <v>284</v>
      </c>
      <c r="D10" s="9" t="s">
        <v>285</v>
      </c>
    </row>
    <row r="11" customFormat="false" ht="31.5" hidden="false" customHeight="true" outlineLevel="0" collapsed="false">
      <c r="A11" s="47" t="s">
        <v>286</v>
      </c>
      <c r="B11" s="47" t="s">
        <v>268</v>
      </c>
      <c r="C11" s="9" t="s">
        <v>287</v>
      </c>
      <c r="D11" s="9" t="s">
        <v>288</v>
      </c>
    </row>
    <row r="12" customFormat="false" ht="31.5" hidden="false" customHeight="true" outlineLevel="0" collapsed="false">
      <c r="A12" s="47" t="s">
        <v>289</v>
      </c>
      <c r="B12" s="47" t="s">
        <v>290</v>
      </c>
      <c r="C12" s="9" t="s">
        <v>291</v>
      </c>
      <c r="D12" s="9" t="s">
        <v>292</v>
      </c>
    </row>
    <row r="13" customFormat="false" ht="31.5" hidden="false" customHeight="true" outlineLevel="0" collapsed="false">
      <c r="A13" s="47" t="s">
        <v>293</v>
      </c>
      <c r="B13" s="47" t="s">
        <v>290</v>
      </c>
      <c r="C13" s="9" t="s">
        <v>294</v>
      </c>
      <c r="D13" s="9" t="s">
        <v>295</v>
      </c>
    </row>
    <row r="14" customFormat="false" ht="31.5" hidden="false" customHeight="true" outlineLevel="0" collapsed="false">
      <c r="A14" s="47" t="s">
        <v>296</v>
      </c>
      <c r="B14" s="47" t="s">
        <v>290</v>
      </c>
      <c r="C14" s="9" t="s">
        <v>297</v>
      </c>
      <c r="D14" s="9" t="s">
        <v>298</v>
      </c>
    </row>
    <row r="15" customFormat="false" ht="31.5" hidden="false" customHeight="true" outlineLevel="0" collapsed="false">
      <c r="A15" s="47" t="s">
        <v>299</v>
      </c>
      <c r="B15" s="47" t="s">
        <v>290</v>
      </c>
      <c r="C15" s="9" t="s">
        <v>300</v>
      </c>
      <c r="D15" s="9" t="s">
        <v>301</v>
      </c>
    </row>
    <row r="16" customFormat="false" ht="31.5" hidden="false" customHeight="true" outlineLevel="0" collapsed="false">
      <c r="A16" s="47" t="s">
        <v>302</v>
      </c>
      <c r="B16" s="47" t="s">
        <v>290</v>
      </c>
      <c r="C16" s="9" t="s">
        <v>303</v>
      </c>
      <c r="D16" s="9" t="s">
        <v>304</v>
      </c>
    </row>
    <row r="17" customFormat="false" ht="31.5" hidden="false" customHeight="true" outlineLevel="0" collapsed="false">
      <c r="A17" s="47" t="s">
        <v>305</v>
      </c>
      <c r="B17" s="47" t="s">
        <v>290</v>
      </c>
      <c r="C17" s="9" t="s">
        <v>306</v>
      </c>
      <c r="D17" s="9" t="s">
        <v>307</v>
      </c>
    </row>
    <row r="18" customFormat="false" ht="31.5" hidden="false" customHeight="true" outlineLevel="0" collapsed="false">
      <c r="A18" s="47" t="s">
        <v>308</v>
      </c>
      <c r="B18" s="47" t="s">
        <v>290</v>
      </c>
      <c r="C18" s="9" t="s">
        <v>309</v>
      </c>
      <c r="D18" s="9" t="s">
        <v>310</v>
      </c>
    </row>
    <row r="19" customFormat="false" ht="31.5" hidden="false" customHeight="true" outlineLevel="0" collapsed="false">
      <c r="A19" s="47" t="s">
        <v>311</v>
      </c>
      <c r="B19" s="47" t="s">
        <v>290</v>
      </c>
      <c r="C19" s="9" t="s">
        <v>312</v>
      </c>
      <c r="D19" s="9" t="s">
        <v>313</v>
      </c>
    </row>
    <row r="20" customFormat="false" ht="31.5" hidden="false" customHeight="true" outlineLevel="0" collapsed="false">
      <c r="A20" s="47" t="s">
        <v>314</v>
      </c>
      <c r="B20" s="47" t="s">
        <v>290</v>
      </c>
      <c r="C20" s="9" t="s">
        <v>315</v>
      </c>
      <c r="D20" s="9" t="s">
        <v>316</v>
      </c>
    </row>
    <row r="21" customFormat="false" ht="31.5" hidden="false" customHeight="true" outlineLevel="0" collapsed="false">
      <c r="A21" s="47" t="s">
        <v>317</v>
      </c>
      <c r="B21" s="47" t="s">
        <v>290</v>
      </c>
      <c r="C21" s="9" t="s">
        <v>318</v>
      </c>
      <c r="D21" s="9" t="s">
        <v>319</v>
      </c>
    </row>
    <row r="22" customFormat="false" ht="31.5" hidden="false" customHeight="true" outlineLevel="0" collapsed="false">
      <c r="A22" s="47" t="s">
        <v>320</v>
      </c>
      <c r="B22" s="47" t="s">
        <v>290</v>
      </c>
      <c r="C22" s="9" t="s">
        <v>321</v>
      </c>
      <c r="D22" s="9" t="s">
        <v>322</v>
      </c>
    </row>
    <row r="23" customFormat="false" ht="31.5" hidden="false" customHeight="true" outlineLevel="0" collapsed="false">
      <c r="A23" s="47" t="s">
        <v>323</v>
      </c>
      <c r="B23" s="47" t="s">
        <v>324</v>
      </c>
      <c r="C23" s="9" t="s">
        <v>325</v>
      </c>
      <c r="D23" s="9" t="s">
        <v>326</v>
      </c>
    </row>
    <row r="24" customFormat="false" ht="31.5" hidden="false" customHeight="true" outlineLevel="0" collapsed="false">
      <c r="A24" s="47" t="s">
        <v>327</v>
      </c>
      <c r="B24" s="47" t="s">
        <v>324</v>
      </c>
      <c r="C24" s="9" t="s">
        <v>328</v>
      </c>
      <c r="D24" s="9" t="s">
        <v>329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2026-10-01T11:34:50Z</dcterms:created>
  <dc:creator>openpyxl</dc:creator>
  <dc:description/>
  <dc:language>en-US</dc:language>
  <cp:lastModifiedBy/>
  <dcterms:modified xsi:type="dcterms:W3CDTF">2026-10-01T11:34:50Z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